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ddhant_Patil\Downloads\"/>
    </mc:Choice>
  </mc:AlternateContent>
  <xr:revisionPtr revIDLastSave="0" documentId="13_ncr:1_{C84DFEDC-E58B-4687-851B-8FD62B781CF5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Bid Overview" sheetId="24" r:id="rId1"/>
    <sheet name="Base" sheetId="15" r:id="rId2"/>
    <sheet name="ALT #1" sheetId="20" r:id="rId3"/>
    <sheet name="ALT #2" sheetId="21" r:id="rId4"/>
    <sheet name="Std Parts Pricing" sheetId="19" r:id="rId5"/>
    <sheet name="BMS-DDC-Panels" sheetId="22" r:id="rId6"/>
    <sheet name="Control Valves &amp; Meters" sheetId="23" r:id="rId7"/>
  </sheets>
  <definedNames>
    <definedName name="_Hlk213152200" localSheetId="2">'ALT #1'!$D$35</definedName>
    <definedName name="_Hlk213152200" localSheetId="3">'ALT #2'!$D$35</definedName>
    <definedName name="_Hlk213152200" localSheetId="1">Base!$D$40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gWHTcDnTh9N/Qb0iAEY09zBp8+/w=="/>
    </ext>
  </extLst>
</workbook>
</file>

<file path=xl/calcChain.xml><?xml version="1.0" encoding="utf-8"?>
<calcChain xmlns="http://schemas.openxmlformats.org/spreadsheetml/2006/main">
  <c r="G198" i="20" l="1"/>
  <c r="F197" i="20"/>
  <c r="B197" i="20"/>
  <c r="B197" i="21"/>
  <c r="G198" i="21"/>
  <c r="F197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9" i="21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9" i="20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14" i="15"/>
  <c r="B11" i="24" a="1"/>
  <c r="C26" i="23"/>
  <c r="C25" i="23"/>
  <c r="C22" i="23"/>
  <c r="C23" i="23"/>
  <c r="C24" i="23"/>
  <c r="C21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G31" i="19"/>
  <c r="J38" i="22"/>
  <c r="J37" i="22"/>
  <c r="K37" i="22" s="1"/>
  <c r="J36" i="22"/>
  <c r="J35" i="22"/>
  <c r="K35" i="22" s="1"/>
  <c r="J34" i="22"/>
  <c r="J33" i="22"/>
  <c r="K33" i="22" s="1"/>
  <c r="C20" i="22"/>
  <c r="C18" i="22"/>
  <c r="N14" i="22"/>
  <c r="N13" i="22"/>
  <c r="O13" i="22" s="1"/>
  <c r="N11" i="22"/>
  <c r="O10" i="22"/>
  <c r="D26" i="22" s="1"/>
  <c r="N8" i="22"/>
  <c r="O7" i="22"/>
  <c r="O5" i="22"/>
  <c r="O3" i="22"/>
  <c r="A224" i="21"/>
  <c r="E220" i="21"/>
  <c r="F214" i="21"/>
  <c r="F211" i="21"/>
  <c r="F212" i="21" s="1"/>
  <c r="A224" i="20"/>
  <c r="E220" i="20"/>
  <c r="F214" i="20"/>
  <c r="F211" i="20"/>
  <c r="F212" i="20" s="1"/>
  <c r="A229" i="15"/>
  <c r="F216" i="15"/>
  <c r="F217" i="15" s="1"/>
  <c r="G203" i="15"/>
  <c r="F219" i="15"/>
  <c r="E225" i="15"/>
  <c r="F220" i="21" l="1"/>
  <c r="D37" i="22"/>
  <c r="D35" i="22"/>
  <c r="D33" i="22"/>
  <c r="D25" i="22"/>
  <c r="D24" i="22"/>
  <c r="D14" i="22"/>
  <c r="D12" i="22"/>
  <c r="F215" i="21"/>
  <c r="F200" i="21"/>
  <c r="H201" i="21"/>
  <c r="F201" i="21"/>
  <c r="F215" i="20"/>
  <c r="F217" i="20" s="1"/>
  <c r="F218" i="20" s="1"/>
  <c r="H201" i="20"/>
  <c r="F201" i="20"/>
  <c r="F220" i="15"/>
  <c r="F222" i="15" s="1"/>
  <c r="F223" i="15" s="1"/>
  <c r="F220" i="20" l="1"/>
  <c r="F200" i="20"/>
  <c r="F202" i="21"/>
  <c r="F203" i="21"/>
  <c r="H203" i="21" s="1"/>
  <c r="F217" i="21"/>
  <c r="F218" i="21" s="1"/>
  <c r="F202" i="20"/>
  <c r="F203" i="20"/>
  <c r="H203" i="20" s="1"/>
  <c r="F204" i="21" l="1"/>
  <c r="H202" i="21"/>
  <c r="F204" i="20"/>
  <c r="H202" i="20"/>
  <c r="F202" i="15"/>
  <c r="F205" i="15" s="1"/>
  <c r="B202" i="15"/>
  <c r="F205" i="21" l="1"/>
  <c r="F206" i="21" s="1"/>
  <c r="F205" i="20"/>
  <c r="F206" i="20" s="1"/>
  <c r="H206" i="15"/>
  <c r="F206" i="15"/>
  <c r="F225" i="15"/>
  <c r="F221" i="21" l="1"/>
  <c r="F222" i="21" s="1"/>
  <c r="F223" i="21" s="1"/>
  <c r="F221" i="20"/>
  <c r="F222" i="20" s="1"/>
  <c r="F223" i="20" s="1"/>
  <c r="B6" i="20" s="1" a="1"/>
  <c r="F208" i="15"/>
  <c r="H208" i="15" s="1"/>
  <c r="F207" i="15"/>
  <c r="B6" i="21" l="1" a="1"/>
  <c r="E223" i="21"/>
  <c r="E223" i="20"/>
  <c r="H207" i="15"/>
  <c r="F209" i="15"/>
  <c r="F210" i="15" l="1"/>
  <c r="F211" i="15" s="1"/>
  <c r="F226" i="15" s="1"/>
  <c r="F227" i="15" s="1"/>
  <c r="F228" i="15" s="1"/>
  <c r="B11" i="15" s="1" a="1"/>
  <c r="E228" i="15" l="1"/>
  <c r="B6" i="21"/>
  <c r="B6" i="20"/>
  <c r="B11" i="15"/>
  <c r="B11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<sst xmlns="http://schemas.openxmlformats.org/spreadsheetml/2006/main" count="558" uniqueCount="362">
  <si>
    <t>TOTAL SELL PRICE</t>
  </si>
  <si>
    <t>Tech Hours</t>
  </si>
  <si>
    <t>Quantities</t>
  </si>
  <si>
    <t>Scope of Work</t>
  </si>
  <si>
    <t>Unit Price</t>
  </si>
  <si>
    <t>Material Totals</t>
  </si>
  <si>
    <t>Electric Costs</t>
  </si>
  <si>
    <t>Tech Cost Per Hour</t>
  </si>
  <si>
    <t>AME Project Management Costs in Comparison to Technician Costs</t>
  </si>
  <si>
    <t>AME Engineering Costs in Comparison to Technician Costs</t>
  </si>
  <si>
    <t>Markup on Total Costs</t>
  </si>
  <si>
    <t>AME Material / Technician / PM / Engineering Sell Price</t>
  </si>
  <si>
    <t>Electrical Costs</t>
  </si>
  <si>
    <t>Markup on Electrical Costs</t>
  </si>
  <si>
    <t>Total AME Costs</t>
  </si>
  <si>
    <t>Electrical Sell Price</t>
  </si>
  <si>
    <t>Electrician</t>
  </si>
  <si>
    <t>GROSS MARGIN</t>
  </si>
  <si>
    <t>Cost</t>
  </si>
  <si>
    <t>Markup on Internal Electrical Budget</t>
  </si>
  <si>
    <t>Mechanical Contractor Costs</t>
  </si>
  <si>
    <t>Markup on Contractor Costs</t>
  </si>
  <si>
    <t>Other 3rd Party Costs</t>
  </si>
  <si>
    <t>Third Party Contractors Sell Price</t>
  </si>
  <si>
    <t>Material Sales Tax</t>
  </si>
  <si>
    <t>Additional Material Contingency</t>
  </si>
  <si>
    <t>Sales Tax</t>
  </si>
  <si>
    <t>New Jersey</t>
  </si>
  <si>
    <t>New York</t>
  </si>
  <si>
    <t>Material Total</t>
  </si>
  <si>
    <t>Electrical Total</t>
  </si>
  <si>
    <t>Hours</t>
  </si>
  <si>
    <t>Exempt</t>
  </si>
  <si>
    <t>Street Buffer</t>
  </si>
  <si>
    <t xml:space="preserve">MEP Engineer: </t>
  </si>
  <si>
    <t xml:space="preserve">Estimator Name: </t>
  </si>
  <si>
    <t xml:space="preserve">Job #: </t>
  </si>
  <si>
    <t>MECH / GC:</t>
  </si>
  <si>
    <t xml:space="preserve">Labor Type: </t>
  </si>
  <si>
    <t>Union/OS</t>
  </si>
  <si>
    <t xml:space="preserve">Floors: </t>
  </si>
  <si>
    <t>Project Type:</t>
  </si>
  <si>
    <t>Additional Notes &amp; Clarifications</t>
  </si>
  <si>
    <t>Bid Summary / Overview:</t>
  </si>
  <si>
    <t>Alternate/Option:</t>
  </si>
  <si>
    <t>Estimation Price</t>
  </si>
  <si>
    <t>Design Reference</t>
  </si>
  <si>
    <t>Point List</t>
  </si>
  <si>
    <t>Mfr</t>
  </si>
  <si>
    <t>Part Number</t>
  </si>
  <si>
    <t>AME Price</t>
  </si>
  <si>
    <t>Discharge Air Temperature Sensor</t>
  </si>
  <si>
    <t>ACI</t>
  </si>
  <si>
    <t>A/20K-D-18"-PB</t>
  </si>
  <si>
    <t>Bapi</t>
  </si>
  <si>
    <t>BA/20K-D-4"-NB-10'</t>
  </si>
  <si>
    <t>VAV</t>
  </si>
  <si>
    <t>BA/20K-D-8"-NB-10'</t>
  </si>
  <si>
    <t>UV</t>
  </si>
  <si>
    <t>Mixed Air Temperature Sensor</t>
  </si>
  <si>
    <t>A/20K-FA-24'-PB</t>
  </si>
  <si>
    <t>A/RH3-20K-D</t>
  </si>
  <si>
    <t>Global Sensor</t>
  </si>
  <si>
    <t>Outdoor Air Temperature Sensor</t>
  </si>
  <si>
    <t>A/20K-O-4X</t>
  </si>
  <si>
    <t>Outdoor Air Temp/Humidity Sensor</t>
  </si>
  <si>
    <t>Senva</t>
  </si>
  <si>
    <t>HT1O-3KUX</t>
  </si>
  <si>
    <t>Outdoor Air Temp / Humidity / CO2 Sensor</t>
  </si>
  <si>
    <t>AQ2O-AD2AAKX</t>
  </si>
  <si>
    <t>Weather Station</t>
  </si>
  <si>
    <t>Water Temperature Sensor (with well)</t>
  </si>
  <si>
    <t>A/20K-I-6"-GD</t>
  </si>
  <si>
    <t>Thermostat for FPB/VAV/Terminal Units</t>
  </si>
  <si>
    <t>Honeywell</t>
  </si>
  <si>
    <t>TR100-T-G</t>
  </si>
  <si>
    <t>TR42</t>
  </si>
  <si>
    <t>Thermostat with Humidity for FPB/VAV/Terminal Units</t>
  </si>
  <si>
    <t>TR100-TH-G</t>
  </si>
  <si>
    <t>Thermostat with Humidity &amp; CO2 for FPB/VAV/Terminal Units</t>
  </si>
  <si>
    <t>TR100-THC-G</t>
  </si>
  <si>
    <t>Space Temp for Monitoring</t>
  </si>
  <si>
    <t xml:space="preserve">	A/20K-R-LCD-C</t>
  </si>
  <si>
    <t>Space Temperature / CO2 Sensor</t>
  </si>
  <si>
    <t>A/CO2-R2-20K</t>
  </si>
  <si>
    <t>Building Pressure Sensor</t>
  </si>
  <si>
    <t>P5-0500-1LX</t>
  </si>
  <si>
    <t>Duct Static Pressure Sensor</t>
  </si>
  <si>
    <t>P5-0501-1XP</t>
  </si>
  <si>
    <t>Expansion Tank Pressure Sensor</t>
  </si>
  <si>
    <t>Dwyer</t>
  </si>
  <si>
    <t>629C-04-CH-P2-E5-S3</t>
  </si>
  <si>
    <t>Water Differential Pressure Sensor</t>
  </si>
  <si>
    <t>PW30</t>
  </si>
  <si>
    <t>Steam Pressure Sensor</t>
  </si>
  <si>
    <t>626-08-CB-P1-E5-S1</t>
  </si>
  <si>
    <t>Duct CO2 Sensor</t>
  </si>
  <si>
    <t>CT1D-A3X</t>
  </si>
  <si>
    <t>Space CO2 Sensor</t>
  </si>
  <si>
    <t>A/CO2-R2</t>
  </si>
  <si>
    <t>CO Sensor</t>
  </si>
  <si>
    <t>TGW-ACX-A</t>
  </si>
  <si>
    <t>NO2 Sensor</t>
  </si>
  <si>
    <t>TGW-ANX-A</t>
  </si>
  <si>
    <t>CH4 Sensor</t>
  </si>
  <si>
    <t>TGW-AMX-A</t>
  </si>
  <si>
    <t>BACnet Thermostat (for Supplemental AC/FCUs)</t>
  </si>
  <si>
    <t>TC500A-N</t>
  </si>
  <si>
    <t>FCUs Etc.</t>
  </si>
  <si>
    <t>BACnet Thermostat (for CUH/EUH/FTRs)</t>
  </si>
  <si>
    <t>TC300B-G</t>
  </si>
  <si>
    <t>FTR etc.</t>
  </si>
  <si>
    <t>Water DP Switch</t>
  </si>
  <si>
    <t>DXW-11-153-1</t>
  </si>
  <si>
    <t>Water Flow Switch / Pressuretrol</t>
  </si>
  <si>
    <t>FS-2</t>
  </si>
  <si>
    <t>Airflow Proving Switch</t>
  </si>
  <si>
    <t>ADPS-04-2-N-C</t>
  </si>
  <si>
    <t>Filter DP Switch</t>
  </si>
  <si>
    <t>Hi / Low Pressure Switch</t>
  </si>
  <si>
    <t>AFS-460-DSS</t>
  </si>
  <si>
    <t>AHU Freezestat</t>
  </si>
  <si>
    <t>BA/LDT4-PS-BB</t>
  </si>
  <si>
    <t xml:space="preserve">Dwyer </t>
  </si>
  <si>
    <t>WD3-LP-D2</t>
  </si>
  <si>
    <t>Cable Type Leak Sensor (25')</t>
  </si>
  <si>
    <t>BA/LDT4-RR25-BB</t>
  </si>
  <si>
    <t>25ft</t>
  </si>
  <si>
    <t>BA/LDT4-RR50-BB</t>
  </si>
  <si>
    <t>50 ft</t>
  </si>
  <si>
    <t>UV Freezestat</t>
  </si>
  <si>
    <t>Break Glass Switch</t>
  </si>
  <si>
    <t>Horn and Strobe</t>
  </si>
  <si>
    <t>Edwards</t>
  </si>
  <si>
    <t>16G554</t>
  </si>
  <si>
    <t>Aquastat</t>
  </si>
  <si>
    <t>Johnson Controls</t>
  </si>
  <si>
    <t>A19DAC-1C</t>
  </si>
  <si>
    <t xml:space="preserve">Standard Damper Actuator </t>
  </si>
  <si>
    <t>MS7505A2030/U</t>
  </si>
  <si>
    <t>Modulating</t>
  </si>
  <si>
    <t>LF24-SR US</t>
  </si>
  <si>
    <t>***Use for Smaller AC Units &amp; Exhaust Fans for Aggressive price</t>
  </si>
  <si>
    <t>Smaller Damper Actuator for VAV/FPB/DOAS Boxes (Only when required External Actuator)</t>
  </si>
  <si>
    <t>LMB24-SR</t>
  </si>
  <si>
    <t>***Only when required External Actuator for VAV/FPB/DOAS</t>
  </si>
  <si>
    <t>Enable/Disable</t>
  </si>
  <si>
    <t>Functional Devices</t>
  </si>
  <si>
    <t>RIBU1C</t>
  </si>
  <si>
    <t>Status / CT</t>
  </si>
  <si>
    <t>C-2300</t>
  </si>
  <si>
    <t>C-2320-L ECM</t>
  </si>
  <si>
    <t>C-2344</t>
  </si>
  <si>
    <t>C-2343-L</t>
  </si>
  <si>
    <t>RAM Device</t>
  </si>
  <si>
    <t>Kentech</t>
  </si>
  <si>
    <t>RAM</t>
  </si>
  <si>
    <t>Timeclock</t>
  </si>
  <si>
    <t>Enerlites</t>
  </si>
  <si>
    <t>HET01</t>
  </si>
  <si>
    <t>VAV Transformer</t>
  </si>
  <si>
    <t>Space Humidistat</t>
  </si>
  <si>
    <t>NZH-101</t>
  </si>
  <si>
    <t>Duct Humidistat</t>
  </si>
  <si>
    <t>HG80</t>
  </si>
  <si>
    <t>AFMS for DOAS Boxes (Similar to Fan Powered Boxes)</t>
  </si>
  <si>
    <t>Ebtron ELF</t>
  </si>
  <si>
    <t>Budget</t>
  </si>
  <si>
    <t>Flow Meter</t>
  </si>
  <si>
    <t>BTU Meter</t>
  </si>
  <si>
    <t>Zone Valves for Perimeter Units (Hot Water / Steam)</t>
  </si>
  <si>
    <t>3/4"</t>
  </si>
  <si>
    <t>1"</t>
  </si>
  <si>
    <t>2"</t>
  </si>
  <si>
    <t>2-1/2"</t>
  </si>
  <si>
    <t>3"</t>
  </si>
  <si>
    <t>HW/CHW Isolation Control Valves</t>
  </si>
  <si>
    <t>Cost for Estimation</t>
  </si>
  <si>
    <t>Calculated</t>
  </si>
  <si>
    <t>Control Panel Prices</t>
  </si>
  <si>
    <t>INFRASTRUCTURE</t>
  </si>
  <si>
    <t>MFR</t>
  </si>
  <si>
    <t>Very Small - Ceiling Mounted</t>
  </si>
  <si>
    <t>12124-SC1</t>
  </si>
  <si>
    <t>12"H X 12"W X 4"D Nema-1 Enclosure</t>
  </si>
  <si>
    <t>PC Workstation</t>
  </si>
  <si>
    <t>TR75VA005</t>
  </si>
  <si>
    <t>BMS Server</t>
  </si>
  <si>
    <t>Small</t>
  </si>
  <si>
    <t>SCE-20N2006LP</t>
  </si>
  <si>
    <t>20"H X 20"W X 6"D Nema-1 Enclosure</t>
  </si>
  <si>
    <t>Laptop</t>
  </si>
  <si>
    <t>TR100VA005</t>
  </si>
  <si>
    <t>Touch Screen Display</t>
  </si>
  <si>
    <t>Meduim</t>
  </si>
  <si>
    <t>SCE-30N2406LP</t>
  </si>
  <si>
    <t>30"H X 24"W X 6"D Nema-1 Enclosure</t>
  </si>
  <si>
    <t>UPS</t>
  </si>
  <si>
    <t>PSH600-UPS</t>
  </si>
  <si>
    <t>X2 (TR100VA005)</t>
  </si>
  <si>
    <t>Newtwork Switch (Standard)</t>
  </si>
  <si>
    <t>EISK8-100T</t>
  </si>
  <si>
    <t>Ethernet</t>
  </si>
  <si>
    <t>Contemporary Controls</t>
  </si>
  <si>
    <t>Relays &amp; Accessories</t>
  </si>
  <si>
    <t>Approx</t>
  </si>
  <si>
    <t>EISK8-100T/FC</t>
  </si>
  <si>
    <t>With 2 Fiber Port (MM)</t>
  </si>
  <si>
    <t>Large</t>
  </si>
  <si>
    <t>SCE-36N3006LP</t>
  </si>
  <si>
    <t>36"H X 30"W X 6"D Nema-1 Enclosure</t>
  </si>
  <si>
    <t>(JACE) HON-9000</t>
  </si>
  <si>
    <t>Individual HON-9000 controller, microSD card, branding clip, two 10/100/1000 MB Ethernet ports, and two RS-485 serial ports.</t>
  </si>
  <si>
    <t>X3 (TR100VA005)</t>
  </si>
  <si>
    <t>Network Level Control Panel (JACE (25 Devices)+Small Panel+NW Switch)</t>
  </si>
  <si>
    <t>NC-9025</t>
  </si>
  <si>
    <t>Up to 25 devices/1250 point core</t>
  </si>
  <si>
    <t>SSMA-9025-1YR-INIT</t>
  </si>
  <si>
    <t>One Year Software Maintenance Agreement for 9025 Core (18 month initial period only)</t>
  </si>
  <si>
    <t>Large /Outdoor Application</t>
  </si>
  <si>
    <t>SCE-42EL3608LP + SCE-42P36</t>
  </si>
  <si>
    <t>42"H X 36"W X 8"D NEMA Type 3R, 4, 12 and Type 13 Enclosure</t>
  </si>
  <si>
    <t>Network Level Control Panel (JACE (100 Devices)+Small Panel+NW Switch)</t>
  </si>
  <si>
    <t>NC-9100</t>
  </si>
  <si>
    <t>Up to 100 devices/5,000 point core</t>
  </si>
  <si>
    <t>SSMA-9100-1YR-INIT</t>
  </si>
  <si>
    <t>One Year Software Maintenance Agreement for 9100 Core (18 month initial period only)</t>
  </si>
  <si>
    <t>NC-9200</t>
  </si>
  <si>
    <t>Up to 200 devices/10,000 point core</t>
  </si>
  <si>
    <t>SMA-9200-1YR-INIT</t>
  </si>
  <si>
    <t>One Year Software Maintenance Agreement for 9200 Core (18 month initial period only)</t>
  </si>
  <si>
    <t>Niagara N4 Supervisor (100 Devices)</t>
  </si>
  <si>
    <t>WEB-S-100-N4</t>
  </si>
  <si>
    <t>SUP-100-SMA-1YR</t>
  </si>
  <si>
    <t>Niagara N4 Supervisor (UNL Devices)</t>
  </si>
  <si>
    <t>WEB-S-UNL-N4</t>
  </si>
  <si>
    <t>SUP-UNL-SMA-1YR</t>
  </si>
  <si>
    <t>VAV DDC Controller</t>
  </si>
  <si>
    <t>VAA-VA75MB24NMC</t>
  </si>
  <si>
    <t>MSTP</t>
  </si>
  <si>
    <t>VAA-VA75IB24NMC</t>
  </si>
  <si>
    <t>IP</t>
  </si>
  <si>
    <r>
      <t>DDC Controller for Terminal Units with Panel Enclosure(UV/FCU/AC/Exhaust Fan)</t>
    </r>
    <r>
      <rPr>
        <b/>
        <sz val="11"/>
        <color theme="1"/>
        <rFont val="Calibri"/>
        <family val="2"/>
        <scheme val="minor"/>
      </rPr>
      <t xml:space="preserve"> - up to 8UIO</t>
    </r>
  </si>
  <si>
    <t xml:space="preserve">	UN-RS0844MSB24NMC</t>
  </si>
  <si>
    <r>
      <t xml:space="preserve">DDC Controller for Terminal Units with Panel Enclosure(UV/FCU/AC/Exhaust Fan) </t>
    </r>
    <r>
      <rPr>
        <b/>
        <sz val="11"/>
        <color theme="1"/>
        <rFont val="Calibri"/>
        <family val="2"/>
        <scheme val="minor"/>
      </rPr>
      <t>- up to 16UIO</t>
    </r>
  </si>
  <si>
    <t>UN-RL1644MSB24NMC</t>
  </si>
  <si>
    <t>BACnet Thermostat</t>
  </si>
  <si>
    <t>Below is not completed - Need to more information and suggested part numbers</t>
  </si>
  <si>
    <t>Plant Control Panel for AHUs &amp; Water System</t>
  </si>
  <si>
    <t>Plant Controller with 32 UIO</t>
  </si>
  <si>
    <t>N-ADV-112-H-C</t>
  </si>
  <si>
    <t>IOD-16UIO-S-S</t>
  </si>
  <si>
    <t>Plant Controller with 64 UIO</t>
  </si>
  <si>
    <t>Plant Controller with 128 UIO</t>
  </si>
  <si>
    <t>Newtwork Switch (with Fiber Port)</t>
  </si>
  <si>
    <r>
      <t>DDC Controller for Misc Systems -</t>
    </r>
    <r>
      <rPr>
        <b/>
        <sz val="11"/>
        <color theme="1"/>
        <rFont val="Calibri"/>
        <family val="2"/>
        <scheme val="minor"/>
      </rPr>
      <t xml:space="preserve"> up to 25 IO</t>
    </r>
  </si>
  <si>
    <t>TC320B-G</t>
  </si>
  <si>
    <t>A/20K-FA-50'-PB</t>
  </si>
  <si>
    <t>Duct Humidity Sensor</t>
  </si>
  <si>
    <t>Don’t use this Anymore</t>
  </si>
  <si>
    <t>Use this Space Temp for Exhaust Fan and any Misc Systems</t>
  </si>
  <si>
    <t>BA/RLD</t>
  </si>
  <si>
    <t>BAPI</t>
  </si>
  <si>
    <t>Refrigerant Leak Sensor (for VRF)</t>
  </si>
  <si>
    <t>Leak Sensor for Residential/Hotel FCUs and WSHP Units</t>
  </si>
  <si>
    <t>Spot Leak Sensor - Standard to use</t>
  </si>
  <si>
    <t>FS-1</t>
  </si>
  <si>
    <t>9001K15</t>
  </si>
  <si>
    <t>Schneider Electric</t>
  </si>
  <si>
    <t>Airflow Station (Large AHUs)</t>
  </si>
  <si>
    <t>Airflow Station (Smaller Units)</t>
  </si>
  <si>
    <t>Sensaphone</t>
  </si>
  <si>
    <t>FGD-W600</t>
  </si>
  <si>
    <t>up to 6 universal Input</t>
  </si>
  <si>
    <t>Autodialer (6 Point Alarm) + Panel</t>
  </si>
  <si>
    <t>Reference from Bray Unit Pricing</t>
  </si>
  <si>
    <t>4" 2-Way Open/Close Valve - ANSI 125/150</t>
  </si>
  <si>
    <t>Bray</t>
  </si>
  <si>
    <t>6" 2-Way Open/Close Valve - ANSI 125/151</t>
  </si>
  <si>
    <t>8" 2-Way Open/Close Valve - ANSI 125/152</t>
  </si>
  <si>
    <t>10" 2-Way Open/Close Valve - ANSI 125/153</t>
  </si>
  <si>
    <t>12" 2-Way Open/Close Valve - ANSI 125/154</t>
  </si>
  <si>
    <t>14" 2-Way Open/Close Valve - ANSI 125/155</t>
  </si>
  <si>
    <t>16" 2-Way Open/Close Valve - ANSI 125/156</t>
  </si>
  <si>
    <t>18" 2-Way Open/Close Valve - ANSI 125/157</t>
  </si>
  <si>
    <t>4" 3-Way Open/Close Valve - ANSI 125/150</t>
  </si>
  <si>
    <t>6" 3-Way Open/Close Valve - ANSI 125/151</t>
  </si>
  <si>
    <t>8" 3-Way Open/Close Valve - ANSI 125/152</t>
  </si>
  <si>
    <t>10" 3-Way Open/Close Valve - ANSI 125/153</t>
  </si>
  <si>
    <t>12" 3-Way Open/Close Valve - ANSI 125/154</t>
  </si>
  <si>
    <t>14" 3-Way Open/Close Valve - ANSI 125/155</t>
  </si>
  <si>
    <t>1-1/4 &amp; 1-1/2"</t>
  </si>
  <si>
    <t>Onicon Electromagnetic 4"</t>
  </si>
  <si>
    <t>Onicon Electromagnetic 6"</t>
  </si>
  <si>
    <t>Onicon Electromagnetic 10"</t>
  </si>
  <si>
    <t>Flow Meter - 4" to 6"</t>
  </si>
  <si>
    <t>Flow Meter -10"</t>
  </si>
  <si>
    <t>Flow Meter -12"</t>
  </si>
  <si>
    <t>Flow Meter -20"</t>
  </si>
  <si>
    <t>Flow Meters</t>
  </si>
  <si>
    <t>BTU Meters</t>
  </si>
  <si>
    <t xml:space="preserve">ONICON SYSTEM-10-BAC BTU Meter </t>
  </si>
  <si>
    <t>SS Kit</t>
  </si>
  <si>
    <t xml:space="preserve">Rosemount </t>
  </si>
  <si>
    <t>2051 + 305 Manifold</t>
  </si>
  <si>
    <t>BTU Meter - 4" to 6"</t>
  </si>
  <si>
    <t>BTU  Meter -10"</t>
  </si>
  <si>
    <t>BTU Meter -12"</t>
  </si>
  <si>
    <t>BTU Meter -20"</t>
  </si>
  <si>
    <t>Bray Butterfly Valves</t>
  </si>
  <si>
    <t>Belimo Butterfly Valves</t>
  </si>
  <si>
    <t>F6100-150SHP+2*AFX24-MFT-X1</t>
  </si>
  <si>
    <t>F6150-150SHP+PKRXUP-MFT-T</t>
  </si>
  <si>
    <t>B253+AFRX24-MFT</t>
  </si>
  <si>
    <t>B220+TFRB24-SR</t>
  </si>
  <si>
    <t>B224+LF24-SR</t>
  </si>
  <si>
    <t>B232+AFRB24-SR</t>
  </si>
  <si>
    <t>1/2"</t>
  </si>
  <si>
    <t>B208+TFRB24-SR</t>
  </si>
  <si>
    <t>B264+AFRB24-S</t>
  </si>
  <si>
    <t>B280+AFRB24-S</t>
  </si>
  <si>
    <t>F6100L+JRXUP-MFT-T</t>
  </si>
  <si>
    <t>4" 2-Way Valve - ANSI 125 (Modulating)</t>
  </si>
  <si>
    <t>F6150L+JRXUP-3-T</t>
  </si>
  <si>
    <t>6" 2-Way Valve - ANSI 125 (Modulating)</t>
  </si>
  <si>
    <t>High Performance</t>
  </si>
  <si>
    <t>F6200L+PKRXUP-MFT-T-200</t>
  </si>
  <si>
    <t>8" 2-Way Valve - ANSI 125 (Modulating)</t>
  </si>
  <si>
    <t>B251+AFRB24-S</t>
  </si>
  <si>
    <t>Modulating Control Valves</t>
  </si>
  <si>
    <t>QC Review</t>
  </si>
  <si>
    <t>120 VAC Power Wiring for BMS Panels</t>
  </si>
  <si>
    <t>Power Wiring for VAV Boxes</t>
  </si>
  <si>
    <t>BTU / Flow Meter</t>
  </si>
  <si>
    <t>Gas Monitoring</t>
  </si>
  <si>
    <t>Existing BMS Vendor</t>
  </si>
  <si>
    <t>Important notes</t>
  </si>
  <si>
    <t>YES/NO</t>
  </si>
  <si>
    <t>Spec &amp; SOP Review / Exhibits / RFIs / Scope Narrative for Design Build</t>
  </si>
  <si>
    <t>Quantity Take-Off</t>
  </si>
  <si>
    <t>Schedule Notes</t>
  </si>
  <si>
    <t>Mechanical Details from Mechanical Floor Plans</t>
  </si>
  <si>
    <t>Network Riser &amp; Workstation Accessories</t>
  </si>
  <si>
    <t>Notes as per HubSpot / Client Request</t>
  </si>
  <si>
    <t>Plumbing / Electrical Drawings Requested (if Required)</t>
  </si>
  <si>
    <t>Keynotes per Mech Plans</t>
  </si>
  <si>
    <t>New BMS / Standalone / Tie-In</t>
  </si>
  <si>
    <t>Additional Warranty (Standard 1 Year Included in Base)</t>
  </si>
  <si>
    <t>Service Contract</t>
  </si>
  <si>
    <t>Additional Notes (Tax Exempt, PW, PLA, CCIP/OCIP, P&amp;P Bond, Proposal Validity)</t>
  </si>
  <si>
    <t>Overtime Requirements</t>
  </si>
  <si>
    <t>Any Mechanical Work Requirements</t>
  </si>
  <si>
    <t>Acceptable Manufacturers (MFR)</t>
  </si>
  <si>
    <t>BMS Network by AME or IT Vendor</t>
  </si>
  <si>
    <t>FSD Scope of Work</t>
  </si>
  <si>
    <t>Any Work Involving Smoke Purge / Fire Alarm System</t>
  </si>
  <si>
    <t>BACnet IP / MS/TP Controllers</t>
  </si>
  <si>
    <t>Control Valve Make</t>
  </si>
  <si>
    <t>Control Valve Specifications (High-Performance / PICV / BFV / Globe Valve / Energy Valve, etc.)</t>
  </si>
  <si>
    <t>AFMS</t>
  </si>
  <si>
    <t>Any Third-Party Systems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</si>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</sst>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color rgb="FF495057"/>
      <name val="Segoe UI"/>
      <family val="2"/>
    </font>
    <font>
      <sz val="8"/>
      <name val="Calibri"/>
      <family val="2"/>
      <scheme val="minor"/>
    </font>
    <font>
      <sz val="12"/>
      <color rgb="FF0D0D0D"/>
      <name val="Segoe UI"/>
      <family val="2"/>
    </font>
    <font>
      <b/>
      <u/>
      <sz val="11"/>
      <color theme="1"/>
      <name val="Arial"/>
      <family val="2"/>
    </font>
    <font>
      <sz val="11"/>
      <color rgb="FF0D0D0D"/>
      <name val="Segoe UI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5" fillId="0" borderId="1"/>
    <xf numFmtId="44" fontId="5" fillId="0" borderId="1" applyFont="0" applyFill="0" applyBorder="0" applyAlignment="0" applyProtection="0"/>
    <xf numFmtId="0" fontId="4" fillId="0" borderId="1"/>
    <xf numFmtId="44" fontId="4" fillId="0" borderId="1" applyFont="0" applyFill="0" applyBorder="0" applyAlignment="0" applyProtection="0"/>
  </cellStyleXfs>
  <cellXfs count="330">
    <xf numFmtId="0" fontId="0" fillId="0" borderId="0" xfId="0"/>
    <xf numFmtId="44" fontId="0" fillId="0" borderId="2" xfId="1" applyFont="1" applyBorder="1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44" fontId="0" fillId="0" borderId="1" xfId="1" applyFont="1" applyBorder="1"/>
    <xf numFmtId="0" fontId="9" fillId="4" borderId="2" xfId="0" applyFont="1" applyFill="1" applyBorder="1" applyAlignment="1">
      <alignment horizontal="right"/>
    </xf>
    <xf numFmtId="44" fontId="9" fillId="4" borderId="2" xfId="1" applyFont="1" applyFill="1" applyBorder="1"/>
    <xf numFmtId="0" fontId="9" fillId="2" borderId="2" xfId="0" applyFont="1" applyFill="1" applyBorder="1" applyAlignment="1">
      <alignment horizontal="center"/>
    </xf>
    <xf numFmtId="44" fontId="9" fillId="2" borderId="2" xfId="1" applyFont="1" applyFill="1" applyBorder="1" applyAlignment="1">
      <alignment horizontal="center"/>
    </xf>
    <xf numFmtId="44" fontId="0" fillId="0" borderId="2" xfId="1" applyFont="1" applyFill="1" applyBorder="1"/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right"/>
    </xf>
    <xf numFmtId="44" fontId="0" fillId="0" borderId="8" xfId="1" applyFont="1" applyBorder="1"/>
    <xf numFmtId="44" fontId="0" fillId="0" borderId="9" xfId="1" applyFont="1" applyBorder="1"/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right"/>
    </xf>
    <xf numFmtId="9" fontId="7" fillId="0" borderId="2" xfId="2" applyFont="1" applyFill="1" applyBorder="1" applyAlignment="1">
      <alignment horizontal="center"/>
    </xf>
    <xf numFmtId="7" fontId="0" fillId="0" borderId="2" xfId="1" applyNumberFormat="1" applyFont="1" applyFill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0" fontId="7" fillId="6" borderId="2" xfId="0" applyFont="1" applyFill="1" applyBorder="1" applyAlignment="1">
      <alignment horizontal="right"/>
    </xf>
    <xf numFmtId="44" fontId="7" fillId="6" borderId="5" xfId="1" applyFont="1" applyFill="1" applyBorder="1" applyAlignment="1">
      <alignment horizontal="center"/>
    </xf>
    <xf numFmtId="44" fontId="7" fillId="6" borderId="5" xfId="1" applyFont="1" applyFill="1" applyBorder="1"/>
    <xf numFmtId="0" fontId="11" fillId="4" borderId="2" xfId="0" applyFont="1" applyFill="1" applyBorder="1" applyAlignment="1">
      <alignment horizontal="right" vertical="center"/>
    </xf>
    <xf numFmtId="44" fontId="11" fillId="4" borderId="2" xfId="1" applyFont="1" applyFill="1" applyBorder="1" applyAlignment="1">
      <alignment horizontal="center" vertical="center"/>
    </xf>
    <xf numFmtId="44" fontId="11" fillId="4" borderId="5" xfId="1" applyFont="1" applyFill="1" applyBorder="1" applyAlignment="1">
      <alignment vertical="center"/>
    </xf>
    <xf numFmtId="44" fontId="0" fillId="0" borderId="0" xfId="1" applyFont="1" applyAlignment="1">
      <alignment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/>
    </xf>
    <xf numFmtId="0" fontId="7" fillId="7" borderId="2" xfId="0" applyFont="1" applyFill="1" applyBorder="1" applyAlignment="1">
      <alignment horizontal="right"/>
    </xf>
    <xf numFmtId="44" fontId="7" fillId="7" borderId="2" xfId="1" applyFont="1" applyFill="1" applyBorder="1" applyAlignment="1">
      <alignment horizontal="center"/>
    </xf>
    <xf numFmtId="9" fontId="7" fillId="7" borderId="2" xfId="2" applyFont="1" applyFill="1" applyBorder="1" applyAlignment="1">
      <alignment horizontal="center"/>
    </xf>
    <xf numFmtId="0" fontId="9" fillId="7" borderId="2" xfId="0" applyFont="1" applyFill="1" applyBorder="1" applyAlignment="1">
      <alignment horizontal="right"/>
    </xf>
    <xf numFmtId="44" fontId="9" fillId="7" borderId="2" xfId="1" applyFont="1" applyFill="1" applyBorder="1" applyAlignment="1">
      <alignment horizontal="center"/>
    </xf>
    <xf numFmtId="44" fontId="9" fillId="7" borderId="2" xfId="1" applyFont="1" applyFill="1" applyBorder="1"/>
    <xf numFmtId="44" fontId="0" fillId="0" borderId="1" xfId="1" applyFont="1" applyBorder="1" applyAlignment="1">
      <alignment horizontal="center"/>
    </xf>
    <xf numFmtId="44" fontId="7" fillId="6" borderId="2" xfId="1" applyFont="1" applyFill="1" applyBorder="1" applyAlignment="1">
      <alignment horizontal="center"/>
    </xf>
    <xf numFmtId="44" fontId="7" fillId="6" borderId="2" xfId="1" applyFont="1" applyFill="1" applyBorder="1"/>
    <xf numFmtId="44" fontId="9" fillId="4" borderId="2" xfId="1" applyFont="1" applyFill="1" applyBorder="1" applyAlignment="1">
      <alignment horizontal="center"/>
    </xf>
    <xf numFmtId="44" fontId="9" fillId="4" borderId="2" xfId="1" applyFont="1" applyFill="1" applyBorder="1" applyAlignment="1">
      <alignment horizontal="center" vertical="center"/>
    </xf>
    <xf numFmtId="9" fontId="0" fillId="0" borderId="4" xfId="2" applyFont="1" applyFill="1" applyBorder="1" applyAlignment="1">
      <alignment horizontal="center"/>
    </xf>
    <xf numFmtId="44" fontId="7" fillId="0" borderId="2" xfId="1" applyFon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7" fontId="0" fillId="0" borderId="4" xfId="1" applyNumberFormat="1" applyFont="1" applyFill="1" applyBorder="1" applyAlignment="1">
      <alignment horizontal="center"/>
    </xf>
    <xf numFmtId="44" fontId="0" fillId="3" borderId="2" xfId="1" applyFont="1" applyFill="1" applyBorder="1" applyAlignment="1">
      <alignment vertical="center"/>
    </xf>
    <xf numFmtId="44" fontId="7" fillId="3" borderId="2" xfId="1" applyFont="1" applyFill="1" applyBorder="1" applyAlignment="1">
      <alignment horizontal="center" vertical="center"/>
    </xf>
    <xf numFmtId="164" fontId="0" fillId="3" borderId="2" xfId="2" applyNumberFormat="1" applyFont="1" applyFill="1" applyBorder="1" applyAlignment="1">
      <alignment horizontal="center" vertical="center"/>
    </xf>
    <xf numFmtId="44" fontId="11" fillId="4" borderId="4" xfId="1" applyFont="1" applyFill="1" applyBorder="1" applyAlignment="1">
      <alignment horizontal="center" vertical="center"/>
    </xf>
    <xf numFmtId="44" fontId="11" fillId="4" borderId="2" xfId="1" applyFont="1" applyFill="1" applyBorder="1" applyAlignment="1">
      <alignment vertical="center"/>
    </xf>
    <xf numFmtId="44" fontId="9" fillId="0" borderId="0" xfId="1" applyFont="1" applyAlignment="1">
      <alignment horizontal="center"/>
    </xf>
    <xf numFmtId="164" fontId="9" fillId="4" borderId="5" xfId="2" applyNumberFormat="1" applyFont="1" applyFill="1" applyBorder="1" applyAlignment="1">
      <alignment horizontal="center"/>
    </xf>
    <xf numFmtId="44" fontId="9" fillId="4" borderId="4" xfId="1" applyFont="1" applyFill="1" applyBorder="1"/>
    <xf numFmtId="0" fontId="9" fillId="4" borderId="9" xfId="0" applyFont="1" applyFill="1" applyBorder="1" applyAlignment="1">
      <alignment horizontal="center"/>
    </xf>
    <xf numFmtId="10" fontId="9" fillId="4" borderId="5" xfId="2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44" fontId="9" fillId="5" borderId="2" xfId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right"/>
    </xf>
    <xf numFmtId="9" fontId="7" fillId="4" borderId="2" xfId="2" applyFont="1" applyFill="1" applyBorder="1" applyAlignment="1">
      <alignment horizontal="center"/>
    </xf>
    <xf numFmtId="44" fontId="7" fillId="4" borderId="2" xfId="1" applyFont="1" applyFill="1" applyBorder="1"/>
    <xf numFmtId="44" fontId="6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9" xfId="0" applyBorder="1" applyAlignment="1">
      <alignment horizontal="center"/>
    </xf>
    <xf numFmtId="44" fontId="7" fillId="7" borderId="2" xfId="2" applyNumberFormat="1" applyFont="1" applyFill="1" applyBorder="1" applyAlignment="1">
      <alignment horizontal="center"/>
    </xf>
    <xf numFmtId="0" fontId="0" fillId="3" borderId="13" xfId="0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3" borderId="18" xfId="0" applyFill="1" applyBorder="1"/>
    <xf numFmtId="44" fontId="0" fillId="3" borderId="18" xfId="1" applyFont="1" applyFill="1" applyBorder="1"/>
    <xf numFmtId="0" fontId="0" fillId="3" borderId="15" xfId="0" applyFill="1" applyBorder="1" applyAlignment="1">
      <alignment horizontal="left" vertical="top"/>
    </xf>
    <xf numFmtId="0" fontId="0" fillId="3" borderId="14" xfId="0" applyFill="1" applyBorder="1"/>
    <xf numFmtId="0" fontId="0" fillId="3" borderId="16" xfId="0" applyFill="1" applyBorder="1"/>
    <xf numFmtId="0" fontId="0" fillId="3" borderId="19" xfId="0" applyFill="1" applyBorder="1"/>
    <xf numFmtId="0" fontId="0" fillId="3" borderId="4" xfId="0" applyFill="1" applyBorder="1"/>
    <xf numFmtId="0" fontId="5" fillId="3" borderId="4" xfId="0" applyFont="1" applyFill="1" applyBorder="1"/>
    <xf numFmtId="0" fontId="0" fillId="3" borderId="1" xfId="0" applyFill="1" applyBorder="1" applyAlignment="1">
      <alignment horizontal="left" vertical="top"/>
    </xf>
    <xf numFmtId="0" fontId="0" fillId="3" borderId="30" xfId="0" applyFill="1" applyBorder="1"/>
    <xf numFmtId="44" fontId="0" fillId="3" borderId="15" xfId="1" applyFont="1" applyFill="1" applyBorder="1"/>
    <xf numFmtId="44" fontId="0" fillId="3" borderId="17" xfId="1" applyFont="1" applyFill="1" applyBorder="1"/>
    <xf numFmtId="7" fontId="0" fillId="0" borderId="3" xfId="1" applyNumberFormat="1" applyFont="1" applyFill="1" applyBorder="1"/>
    <xf numFmtId="7" fontId="0" fillId="6" borderId="2" xfId="1" applyNumberFormat="1" applyFont="1" applyFill="1" applyBorder="1"/>
    <xf numFmtId="7" fontId="0" fillId="0" borderId="2" xfId="1" applyNumberFormat="1" applyFont="1" applyFill="1" applyBorder="1"/>
    <xf numFmtId="0" fontId="5" fillId="0" borderId="1" xfId="4"/>
    <xf numFmtId="44" fontId="0" fillId="0" borderId="1" xfId="5" applyFont="1" applyAlignment="1">
      <alignment horizontal="center"/>
    </xf>
    <xf numFmtId="44" fontId="0" fillId="0" borderId="1" xfId="5" applyFont="1"/>
    <xf numFmtId="0" fontId="11" fillId="0" borderId="1" xfId="4" applyFont="1" applyAlignment="1">
      <alignment vertical="center"/>
    </xf>
    <xf numFmtId="44" fontId="11" fillId="0" borderId="1" xfId="5" applyFont="1" applyAlignment="1">
      <alignment horizontal="center" vertical="center"/>
    </xf>
    <xf numFmtId="44" fontId="11" fillId="0" borderId="1" xfId="5" applyFont="1" applyAlignment="1">
      <alignment vertical="center"/>
    </xf>
    <xf numFmtId="0" fontId="9" fillId="0" borderId="2" xfId="4" applyFont="1" applyBorder="1"/>
    <xf numFmtId="0" fontId="9" fillId="0" borderId="1" xfId="4" applyFont="1"/>
    <xf numFmtId="44" fontId="0" fillId="0" borderId="20" xfId="5" applyFont="1" applyBorder="1"/>
    <xf numFmtId="0" fontId="5" fillId="0" borderId="2" xfId="4" applyBorder="1"/>
    <xf numFmtId="0" fontId="5" fillId="0" borderId="24" xfId="4" applyBorder="1" applyAlignment="1">
      <alignment horizontal="center"/>
    </xf>
    <xf numFmtId="0" fontId="5" fillId="6" borderId="2" xfId="4" applyFill="1" applyBorder="1"/>
    <xf numFmtId="8" fontId="5" fillId="6" borderId="2" xfId="4" applyNumberFormat="1" applyFill="1" applyBorder="1"/>
    <xf numFmtId="0" fontId="5" fillId="6" borderId="1" xfId="4" applyFill="1"/>
    <xf numFmtId="0" fontId="5" fillId="6" borderId="20" xfId="4" applyFill="1" applyBorder="1"/>
    <xf numFmtId="8" fontId="5" fillId="6" borderId="24" xfId="4" applyNumberFormat="1" applyFill="1" applyBorder="1"/>
    <xf numFmtId="8" fontId="5" fillId="0" borderId="2" xfId="4" applyNumberFormat="1" applyBorder="1"/>
    <xf numFmtId="0" fontId="5" fillId="0" borderId="20" xfId="4" applyBorder="1"/>
    <xf numFmtId="8" fontId="5" fillId="0" borderId="24" xfId="4" applyNumberFormat="1" applyBorder="1"/>
    <xf numFmtId="44" fontId="0" fillId="6" borderId="20" xfId="5" applyFont="1" applyFill="1" applyBorder="1"/>
    <xf numFmtId="44" fontId="0" fillId="0" borderId="1" xfId="5" applyFont="1" applyAlignment="1">
      <alignment horizontal="left"/>
    </xf>
    <xf numFmtId="0" fontId="5" fillId="0" borderId="24" xfId="4" applyBorder="1"/>
    <xf numFmtId="44" fontId="0" fillId="0" borderId="20" xfId="5" applyFont="1" applyFill="1" applyBorder="1"/>
    <xf numFmtId="44" fontId="0" fillId="0" borderId="1" xfId="5" applyFont="1" applyFill="1" applyAlignment="1">
      <alignment horizontal="left"/>
    </xf>
    <xf numFmtId="44" fontId="0" fillId="0" borderId="1" xfId="5" applyFont="1" applyFill="1" applyAlignment="1">
      <alignment horizontal="center"/>
    </xf>
    <xf numFmtId="44" fontId="0" fillId="0" borderId="1" xfId="5" applyFont="1" applyFill="1"/>
    <xf numFmtId="8" fontId="5" fillId="5" borderId="2" xfId="4" applyNumberFormat="1" applyFill="1" applyBorder="1"/>
    <xf numFmtId="0" fontId="5" fillId="4" borderId="2" xfId="4" applyFill="1" applyBorder="1"/>
    <xf numFmtId="0" fontId="5" fillId="4" borderId="1" xfId="4" applyFill="1"/>
    <xf numFmtId="44" fontId="0" fillId="4" borderId="20" xfId="5" applyFont="1" applyFill="1" applyBorder="1"/>
    <xf numFmtId="8" fontId="5" fillId="4" borderId="24" xfId="4" applyNumberFormat="1" applyFill="1" applyBorder="1"/>
    <xf numFmtId="0" fontId="5" fillId="6" borderId="24" xfId="4" applyFill="1" applyBorder="1"/>
    <xf numFmtId="0" fontId="12" fillId="0" borderId="2" xfId="4" applyFont="1" applyBorder="1"/>
    <xf numFmtId="0" fontId="0" fillId="3" borderId="12" xfId="0" applyFill="1" applyBorder="1"/>
    <xf numFmtId="0" fontId="0" fillId="3" borderId="15" xfId="0" applyFill="1" applyBorder="1"/>
    <xf numFmtId="0" fontId="0" fillId="3" borderId="17" xfId="0" applyFill="1" applyBorder="1"/>
    <xf numFmtId="0" fontId="4" fillId="0" borderId="1" xfId="6"/>
    <xf numFmtId="44" fontId="0" fillId="0" borderId="1" xfId="7" applyFont="1" applyAlignment="1">
      <alignment horizontal="center"/>
    </xf>
    <xf numFmtId="0" fontId="4" fillId="0" borderId="1" xfId="6" applyAlignment="1">
      <alignment horizontal="center"/>
    </xf>
    <xf numFmtId="44" fontId="0" fillId="0" borderId="1" xfId="7" applyFont="1"/>
    <xf numFmtId="0" fontId="11" fillId="8" borderId="10" xfId="6" applyFont="1" applyFill="1" applyBorder="1" applyAlignment="1">
      <alignment horizontal="center" vertical="center" wrapText="1"/>
    </xf>
    <xf numFmtId="0" fontId="11" fillId="0" borderId="1" xfId="6" applyFont="1" applyAlignment="1">
      <alignment vertical="center"/>
    </xf>
    <xf numFmtId="0" fontId="11" fillId="0" borderId="1" xfId="6" applyFont="1" applyAlignment="1">
      <alignment horizontal="center" vertical="center"/>
    </xf>
    <xf numFmtId="44" fontId="11" fillId="0" borderId="1" xfId="7" applyFont="1" applyAlignment="1">
      <alignment vertical="center"/>
    </xf>
    <xf numFmtId="0" fontId="9" fillId="0" borderId="1" xfId="6" applyFont="1" applyAlignment="1">
      <alignment vertical="center"/>
    </xf>
    <xf numFmtId="0" fontId="4" fillId="0" borderId="34" xfId="6" applyBorder="1" applyAlignment="1">
      <alignment vertical="center"/>
    </xf>
    <xf numFmtId="0" fontId="4" fillId="0" borderId="1" xfId="6" applyAlignment="1">
      <alignment vertical="center"/>
    </xf>
    <xf numFmtId="0" fontId="4" fillId="0" borderId="3" xfId="6" applyBorder="1" applyAlignment="1">
      <alignment vertical="center"/>
    </xf>
    <xf numFmtId="44" fontId="0" fillId="0" borderId="3" xfId="7" applyFont="1" applyBorder="1" applyAlignment="1">
      <alignment horizontal="center" vertical="center"/>
    </xf>
    <xf numFmtId="0" fontId="4" fillId="0" borderId="3" xfId="6" applyBorder="1" applyAlignment="1">
      <alignment horizontal="center" vertical="center"/>
    </xf>
    <xf numFmtId="0" fontId="4" fillId="9" borderId="36" xfId="6" applyFill="1" applyBorder="1" applyAlignment="1">
      <alignment vertical="center"/>
    </xf>
    <xf numFmtId="0" fontId="4" fillId="9" borderId="13" xfId="6" applyFill="1" applyBorder="1" applyAlignment="1">
      <alignment vertical="center"/>
    </xf>
    <xf numFmtId="44" fontId="0" fillId="9" borderId="22" xfId="7" applyFont="1" applyFill="1" applyBorder="1" applyAlignment="1">
      <alignment vertical="center"/>
    </xf>
    <xf numFmtId="44" fontId="0" fillId="0" borderId="1" xfId="7" applyFont="1" applyAlignment="1">
      <alignment vertical="center"/>
    </xf>
    <xf numFmtId="0" fontId="4" fillId="0" borderId="38" xfId="6" applyBorder="1" applyAlignment="1">
      <alignment vertical="center"/>
    </xf>
    <xf numFmtId="44" fontId="0" fillId="0" borderId="1" xfId="7" applyFont="1" applyBorder="1" applyAlignment="1">
      <alignment horizontal="center" vertical="center"/>
    </xf>
    <xf numFmtId="44" fontId="0" fillId="0" borderId="39" xfId="7" applyFont="1" applyBorder="1" applyAlignment="1">
      <alignment horizontal="center" vertical="center"/>
    </xf>
    <xf numFmtId="0" fontId="4" fillId="9" borderId="41" xfId="6" applyFill="1" applyBorder="1" applyAlignment="1">
      <alignment vertical="center"/>
    </xf>
    <xf numFmtId="0" fontId="4" fillId="9" borderId="18" xfId="6" applyFill="1" applyBorder="1" applyAlignment="1">
      <alignment vertical="center"/>
    </xf>
    <xf numFmtId="44" fontId="0" fillId="9" borderId="26" xfId="7" applyFont="1" applyFill="1" applyBorder="1" applyAlignment="1">
      <alignment vertical="center"/>
    </xf>
    <xf numFmtId="0" fontId="4" fillId="10" borderId="36" xfId="6" applyFill="1" applyBorder="1" applyAlignment="1">
      <alignment vertical="center"/>
    </xf>
    <xf numFmtId="0" fontId="4" fillId="10" borderId="13" xfId="6" applyFill="1" applyBorder="1" applyAlignment="1">
      <alignment vertical="center"/>
    </xf>
    <xf numFmtId="44" fontId="0" fillId="10" borderId="22" xfId="7" applyFont="1" applyFill="1" applyBorder="1" applyAlignment="1">
      <alignment vertical="center"/>
    </xf>
    <xf numFmtId="44" fontId="0" fillId="4" borderId="1" xfId="7" applyFont="1" applyFill="1" applyAlignment="1">
      <alignment vertical="center"/>
    </xf>
    <xf numFmtId="0" fontId="4" fillId="10" borderId="41" xfId="6" applyFill="1" applyBorder="1" applyAlignment="1">
      <alignment vertical="center"/>
    </xf>
    <xf numFmtId="0" fontId="4" fillId="10" borderId="18" xfId="6" applyFill="1" applyBorder="1" applyAlignment="1">
      <alignment vertical="center"/>
    </xf>
    <xf numFmtId="44" fontId="0" fillId="10" borderId="26" xfId="7" applyFont="1" applyFill="1" applyBorder="1" applyAlignment="1">
      <alignment vertical="center"/>
    </xf>
    <xf numFmtId="0" fontId="4" fillId="9" borderId="22" xfId="6" applyFill="1" applyBorder="1" applyAlignment="1">
      <alignment vertical="center"/>
    </xf>
    <xf numFmtId="0" fontId="4" fillId="9" borderId="2" xfId="6" applyFill="1" applyBorder="1" applyAlignment="1">
      <alignment vertical="center"/>
    </xf>
    <xf numFmtId="44" fontId="0" fillId="9" borderId="2" xfId="7" applyFont="1" applyFill="1" applyBorder="1" applyAlignment="1">
      <alignment vertical="center"/>
    </xf>
    <xf numFmtId="44" fontId="0" fillId="0" borderId="1" xfId="7" applyFont="1" applyBorder="1" applyAlignment="1">
      <alignment horizontal="left" vertical="center"/>
    </xf>
    <xf numFmtId="0" fontId="4" fillId="9" borderId="6" xfId="6" applyFill="1" applyBorder="1" applyAlignment="1">
      <alignment vertical="center"/>
    </xf>
    <xf numFmtId="44" fontId="0" fillId="9" borderId="6" xfId="7" applyFont="1" applyFill="1" applyBorder="1" applyAlignment="1">
      <alignment vertical="center"/>
    </xf>
    <xf numFmtId="0" fontId="4" fillId="0" borderId="30" xfId="6" applyBorder="1" applyAlignment="1">
      <alignment vertical="center"/>
    </xf>
    <xf numFmtId="44" fontId="0" fillId="0" borderId="45" xfId="7" applyFont="1" applyBorder="1" applyAlignment="1">
      <alignment horizontal="left" vertical="center"/>
    </xf>
    <xf numFmtId="0" fontId="4" fillId="0" borderId="45" xfId="6" applyBorder="1" applyAlignment="1">
      <alignment vertical="center"/>
    </xf>
    <xf numFmtId="44" fontId="0" fillId="0" borderId="31" xfId="7" applyFont="1" applyBorder="1" applyAlignment="1">
      <alignment horizontal="center" vertical="center"/>
    </xf>
    <xf numFmtId="0" fontId="4" fillId="10" borderId="21" xfId="6" applyFill="1" applyBorder="1" applyAlignment="1">
      <alignment vertical="center"/>
    </xf>
    <xf numFmtId="0" fontId="4" fillId="10" borderId="22" xfId="6" applyFill="1" applyBorder="1" applyAlignment="1">
      <alignment vertical="center"/>
    </xf>
    <xf numFmtId="0" fontId="4" fillId="0" borderId="46" xfId="6" applyBorder="1" applyAlignment="1">
      <alignment vertical="center"/>
    </xf>
    <xf numFmtId="44" fontId="0" fillId="0" borderId="47" xfId="7" applyFont="1" applyFill="1" applyBorder="1" applyAlignment="1">
      <alignment vertical="center"/>
    </xf>
    <xf numFmtId="0" fontId="4" fillId="0" borderId="6" xfId="6" applyBorder="1" applyAlignment="1">
      <alignment vertical="center"/>
    </xf>
    <xf numFmtId="0" fontId="4" fillId="0" borderId="47" xfId="6" applyBorder="1" applyAlignment="1">
      <alignment vertical="center"/>
    </xf>
    <xf numFmtId="0" fontId="4" fillId="11" borderId="4" xfId="6" applyFill="1" applyBorder="1" applyAlignment="1">
      <alignment vertical="center"/>
    </xf>
    <xf numFmtId="44" fontId="0" fillId="11" borderId="4" xfId="7" applyFont="1" applyFill="1" applyBorder="1" applyAlignment="1">
      <alignment horizontal="left" vertical="center"/>
    </xf>
    <xf numFmtId="0" fontId="4" fillId="11" borderId="5" xfId="6" applyFill="1" applyBorder="1" applyAlignment="1">
      <alignment vertical="center"/>
    </xf>
    <xf numFmtId="44" fontId="0" fillId="11" borderId="2" xfId="7" applyFont="1" applyFill="1" applyBorder="1" applyAlignment="1">
      <alignment horizontal="center" vertical="center"/>
    </xf>
    <xf numFmtId="0" fontId="4" fillId="0" borderId="1" xfId="6" applyAlignment="1">
      <alignment horizontal="center" vertical="center"/>
    </xf>
    <xf numFmtId="0" fontId="4" fillId="10" borderId="20" xfId="6" applyFill="1" applyBorder="1" applyAlignment="1">
      <alignment vertical="center"/>
    </xf>
    <xf numFmtId="0" fontId="4" fillId="10" borderId="2" xfId="6" applyFill="1" applyBorder="1" applyAlignment="1">
      <alignment vertical="center"/>
    </xf>
    <xf numFmtId="44" fontId="0" fillId="10" borderId="2" xfId="7" applyFont="1" applyFill="1" applyBorder="1" applyAlignment="1">
      <alignment vertical="center"/>
    </xf>
    <xf numFmtId="44" fontId="0" fillId="0" borderId="1" xfId="7" applyFont="1" applyBorder="1" applyAlignment="1">
      <alignment vertical="center"/>
    </xf>
    <xf numFmtId="44" fontId="4" fillId="0" borderId="34" xfId="6" applyNumberFormat="1" applyBorder="1" applyAlignment="1">
      <alignment vertical="center"/>
    </xf>
    <xf numFmtId="44" fontId="4" fillId="0" borderId="1" xfId="6" applyNumberFormat="1" applyAlignment="1">
      <alignment vertical="center"/>
    </xf>
    <xf numFmtId="0" fontId="4" fillId="9" borderId="46" xfId="6" applyFill="1" applyBorder="1" applyAlignment="1">
      <alignment vertical="center"/>
    </xf>
    <xf numFmtId="44" fontId="0" fillId="9" borderId="46" xfId="7" applyFont="1" applyFill="1" applyBorder="1" applyAlignment="1">
      <alignment horizontal="left" vertical="center"/>
    </xf>
    <xf numFmtId="0" fontId="4" fillId="9" borderId="48" xfId="6" applyFill="1" applyBorder="1" applyAlignment="1">
      <alignment vertical="center"/>
    </xf>
    <xf numFmtId="44" fontId="0" fillId="9" borderId="2" xfId="7" applyFont="1" applyFill="1" applyBorder="1" applyAlignment="1">
      <alignment horizontal="center" vertical="center"/>
    </xf>
    <xf numFmtId="0" fontId="4" fillId="10" borderId="25" xfId="6" applyFill="1" applyBorder="1" applyAlignment="1">
      <alignment vertical="center"/>
    </xf>
    <xf numFmtId="0" fontId="4" fillId="10" borderId="26" xfId="6" applyFill="1" applyBorder="1" applyAlignment="1">
      <alignment vertical="center"/>
    </xf>
    <xf numFmtId="0" fontId="4" fillId="9" borderId="30" xfId="6" applyFill="1" applyBorder="1" applyAlignment="1">
      <alignment vertical="center"/>
    </xf>
    <xf numFmtId="44" fontId="0" fillId="9" borderId="30" xfId="7" applyFont="1" applyFill="1" applyBorder="1" applyAlignment="1">
      <alignment horizontal="left" vertical="center"/>
    </xf>
    <xf numFmtId="0" fontId="4" fillId="9" borderId="31" xfId="6" applyFill="1" applyBorder="1" applyAlignment="1">
      <alignment vertical="center"/>
    </xf>
    <xf numFmtId="0" fontId="4" fillId="9" borderId="21" xfId="6" applyFill="1" applyBorder="1" applyAlignment="1">
      <alignment vertical="center"/>
    </xf>
    <xf numFmtId="0" fontId="4" fillId="9" borderId="23" xfId="6" applyFill="1" applyBorder="1" applyAlignment="1">
      <alignment vertical="center"/>
    </xf>
    <xf numFmtId="44" fontId="0" fillId="9" borderId="49" xfId="7" applyFont="1" applyFill="1" applyBorder="1" applyAlignment="1">
      <alignment vertical="center"/>
    </xf>
    <xf numFmtId="0" fontId="4" fillId="10" borderId="46" xfId="6" applyFill="1" applyBorder="1" applyAlignment="1">
      <alignment vertical="center"/>
    </xf>
    <xf numFmtId="44" fontId="0" fillId="10" borderId="46" xfId="7" applyFont="1" applyFill="1" applyBorder="1" applyAlignment="1">
      <alignment horizontal="left" vertical="center"/>
    </xf>
    <xf numFmtId="0" fontId="4" fillId="10" borderId="48" xfId="6" applyFill="1" applyBorder="1" applyAlignment="1">
      <alignment vertical="center"/>
    </xf>
    <xf numFmtId="44" fontId="0" fillId="10" borderId="2" xfId="7" applyFont="1" applyFill="1" applyBorder="1" applyAlignment="1">
      <alignment horizontal="center" vertical="center"/>
    </xf>
    <xf numFmtId="0" fontId="4" fillId="9" borderId="20" xfId="6" applyFill="1" applyBorder="1" applyAlignment="1">
      <alignment vertical="center"/>
    </xf>
    <xf numFmtId="0" fontId="4" fillId="9" borderId="24" xfId="6" applyFill="1" applyBorder="1" applyAlignment="1">
      <alignment vertical="center"/>
    </xf>
    <xf numFmtId="44" fontId="0" fillId="9" borderId="5" xfId="7" applyFont="1" applyFill="1" applyBorder="1" applyAlignment="1">
      <alignment vertical="center"/>
    </xf>
    <xf numFmtId="0" fontId="4" fillId="10" borderId="30" xfId="6" applyFill="1" applyBorder="1" applyAlignment="1">
      <alignment vertical="center"/>
    </xf>
    <xf numFmtId="44" fontId="0" fillId="10" borderId="30" xfId="7" applyFont="1" applyFill="1" applyBorder="1" applyAlignment="1">
      <alignment horizontal="left" vertical="center"/>
    </xf>
    <xf numFmtId="0" fontId="4" fillId="10" borderId="31" xfId="6" applyFill="1" applyBorder="1" applyAlignment="1">
      <alignment vertical="center"/>
    </xf>
    <xf numFmtId="0" fontId="4" fillId="9" borderId="25" xfId="6" applyFill="1" applyBorder="1" applyAlignment="1">
      <alignment vertical="center"/>
    </xf>
    <xf numFmtId="0" fontId="4" fillId="9" borderId="27" xfId="6" applyFill="1" applyBorder="1" applyAlignment="1">
      <alignment vertical="center"/>
    </xf>
    <xf numFmtId="44" fontId="0" fillId="9" borderId="50" xfId="7" applyFont="1" applyFill="1" applyBorder="1" applyAlignment="1">
      <alignment vertical="center"/>
    </xf>
    <xf numFmtId="44" fontId="0" fillId="0" borderId="47" xfId="7" applyFont="1" applyBorder="1" applyAlignment="1">
      <alignment vertical="center"/>
    </xf>
    <xf numFmtId="44" fontId="0" fillId="0" borderId="47" xfId="7" applyFont="1" applyBorder="1" applyAlignment="1">
      <alignment horizontal="center" vertical="center"/>
    </xf>
    <xf numFmtId="44" fontId="0" fillId="0" borderId="48" xfId="7" applyFont="1" applyBorder="1" applyAlignment="1">
      <alignment horizontal="center" vertical="center"/>
    </xf>
    <xf numFmtId="44" fontId="0" fillId="0" borderId="45" xfId="7" applyFont="1" applyBorder="1" applyAlignment="1">
      <alignment horizontal="center" vertical="center"/>
    </xf>
    <xf numFmtId="0" fontId="4" fillId="0" borderId="38" xfId="6" applyBorder="1" applyAlignment="1">
      <alignment vertical="center" wrapText="1"/>
    </xf>
    <xf numFmtId="8" fontId="4" fillId="0" borderId="1" xfId="6" applyNumberFormat="1" applyAlignment="1">
      <alignment vertical="center"/>
    </xf>
    <xf numFmtId="0" fontId="4" fillId="0" borderId="38" xfId="6" applyBorder="1"/>
    <xf numFmtId="0" fontId="4" fillId="0" borderId="34" xfId="6" applyBorder="1"/>
    <xf numFmtId="44" fontId="0" fillId="0" borderId="1" xfId="7" applyFont="1" applyBorder="1" applyAlignment="1">
      <alignment horizontal="center"/>
    </xf>
    <xf numFmtId="44" fontId="0" fillId="0" borderId="39" xfId="7" applyFont="1" applyBorder="1" applyAlignment="1">
      <alignment horizontal="center"/>
    </xf>
    <xf numFmtId="0" fontId="4" fillId="0" borderId="30" xfId="6" applyBorder="1"/>
    <xf numFmtId="0" fontId="4" fillId="0" borderId="45" xfId="6" applyBorder="1"/>
    <xf numFmtId="0" fontId="4" fillId="0" borderId="3" xfId="6" applyBorder="1"/>
    <xf numFmtId="44" fontId="0" fillId="0" borderId="45" xfId="7" applyFont="1" applyBorder="1" applyAlignment="1">
      <alignment horizontal="center"/>
    </xf>
    <xf numFmtId="44" fontId="0" fillId="0" borderId="31" xfId="7" applyFont="1" applyBorder="1" applyAlignment="1">
      <alignment horizontal="center"/>
    </xf>
    <xf numFmtId="0" fontId="12" fillId="5" borderId="1" xfId="6" applyFont="1" applyFill="1"/>
    <xf numFmtId="0" fontId="12" fillId="0" borderId="46" xfId="6" applyFont="1" applyBorder="1"/>
    <xf numFmtId="0" fontId="4" fillId="0" borderId="47" xfId="6" applyBorder="1"/>
    <xf numFmtId="0" fontId="4" fillId="0" borderId="48" xfId="6" applyBorder="1"/>
    <xf numFmtId="0" fontId="4" fillId="0" borderId="46" xfId="6" applyBorder="1"/>
    <xf numFmtId="44" fontId="0" fillId="0" borderId="6" xfId="7" applyFont="1" applyBorder="1" applyAlignment="1">
      <alignment horizontal="center" vertical="center"/>
    </xf>
    <xf numFmtId="44" fontId="4" fillId="0" borderId="48" xfId="6" applyNumberFormat="1" applyBorder="1" applyAlignment="1">
      <alignment horizontal="center" vertical="center"/>
    </xf>
    <xf numFmtId="44" fontId="4" fillId="0" borderId="1" xfId="6" applyNumberFormat="1"/>
    <xf numFmtId="44" fontId="0" fillId="9" borderId="2" xfId="7" applyFont="1" applyFill="1" applyBorder="1" applyAlignment="1">
      <alignment horizontal="center"/>
    </xf>
    <xf numFmtId="0" fontId="4" fillId="9" borderId="2" xfId="6" applyFill="1" applyBorder="1" applyAlignment="1">
      <alignment horizontal="center"/>
    </xf>
    <xf numFmtId="44" fontId="4" fillId="9" borderId="2" xfId="6" applyNumberFormat="1" applyFill="1" applyBorder="1"/>
    <xf numFmtId="0" fontId="4" fillId="0" borderId="31" xfId="6" applyBorder="1" applyAlignment="1">
      <alignment horizontal="center" vertical="center"/>
    </xf>
    <xf numFmtId="44" fontId="0" fillId="10" borderId="2" xfId="7" applyFont="1" applyFill="1" applyBorder="1" applyAlignment="1">
      <alignment horizontal="center"/>
    </xf>
    <xf numFmtId="0" fontId="4" fillId="10" borderId="2" xfId="6" applyFill="1" applyBorder="1" applyAlignment="1">
      <alignment horizontal="center"/>
    </xf>
    <xf numFmtId="44" fontId="4" fillId="10" borderId="2" xfId="6" applyNumberFormat="1" applyFill="1" applyBorder="1"/>
    <xf numFmtId="0" fontId="11" fillId="2" borderId="37" xfId="6" applyFont="1" applyFill="1" applyBorder="1" applyAlignment="1">
      <alignment vertical="center"/>
    </xf>
    <xf numFmtId="0" fontId="11" fillId="8" borderId="35" xfId="6" applyFont="1" applyFill="1" applyBorder="1" applyAlignment="1">
      <alignment vertical="center"/>
    </xf>
    <xf numFmtId="0" fontId="9" fillId="0" borderId="6" xfId="6" applyFont="1" applyBorder="1" applyAlignment="1">
      <alignment vertical="center"/>
    </xf>
    <xf numFmtId="0" fontId="4" fillId="4" borderId="34" xfId="6" applyFill="1" applyBorder="1" applyAlignment="1">
      <alignment vertical="center"/>
    </xf>
    <xf numFmtId="44" fontId="4" fillId="0" borderId="3" xfId="6" applyNumberFormat="1" applyBorder="1"/>
    <xf numFmtId="44" fontId="4" fillId="0" borderId="34" xfId="6" applyNumberFormat="1" applyBorder="1"/>
    <xf numFmtId="0" fontId="4" fillId="0" borderId="6" xfId="6" applyBorder="1"/>
    <xf numFmtId="44" fontId="0" fillId="0" borderId="45" xfId="7" applyFont="1" applyFill="1" applyBorder="1" applyAlignment="1">
      <alignment horizontal="center" vertical="center"/>
    </xf>
    <xf numFmtId="0" fontId="4" fillId="6" borderId="2" xfId="4" applyFont="1" applyFill="1" applyBorder="1"/>
    <xf numFmtId="0" fontId="4" fillId="0" borderId="2" xfId="4" applyFont="1" applyBorder="1"/>
    <xf numFmtId="44" fontId="4" fillId="5" borderId="1" xfId="5" applyFont="1" applyFill="1" applyAlignment="1">
      <alignment horizontal="left"/>
    </xf>
    <xf numFmtId="44" fontId="4" fillId="0" borderId="20" xfId="5" applyFont="1" applyBorder="1"/>
    <xf numFmtId="44" fontId="4" fillId="0" borderId="1" xfId="5" applyFont="1" applyAlignment="1">
      <alignment horizontal="center"/>
    </xf>
    <xf numFmtId="0" fontId="4" fillId="4" borderId="2" xfId="4" applyFont="1" applyFill="1" applyBorder="1"/>
    <xf numFmtId="44" fontId="4" fillId="0" borderId="20" xfId="5" applyFont="1" applyFill="1" applyBorder="1"/>
    <xf numFmtId="44" fontId="4" fillId="0" borderId="20" xfId="5" applyFont="1" applyFill="1" applyBorder="1" applyAlignment="1">
      <alignment vertical="top" wrapText="1"/>
    </xf>
    <xf numFmtId="44" fontId="4" fillId="0" borderId="25" xfId="5" applyFont="1" applyBorder="1"/>
    <xf numFmtId="0" fontId="4" fillId="0" borderId="26" xfId="4" applyFont="1" applyBorder="1"/>
    <xf numFmtId="0" fontId="16" fillId="0" borderId="1" xfId="0" applyFont="1" applyBorder="1"/>
    <xf numFmtId="8" fontId="5" fillId="0" borderId="27" xfId="4" applyNumberFormat="1" applyBorder="1"/>
    <xf numFmtId="0" fontId="4" fillId="0" borderId="1" xfId="4" applyFont="1"/>
    <xf numFmtId="0" fontId="4" fillId="5" borderId="1" xfId="4" applyFont="1" applyFill="1"/>
    <xf numFmtId="44" fontId="4" fillId="6" borderId="20" xfId="5" applyFont="1" applyFill="1" applyBorder="1"/>
    <xf numFmtId="8" fontId="4" fillId="6" borderId="24" xfId="4" applyNumberFormat="1" applyFont="1" applyFill="1" applyBorder="1"/>
    <xf numFmtId="0" fontId="3" fillId="4" borderId="2" xfId="4" applyFont="1" applyFill="1" applyBorder="1"/>
    <xf numFmtId="0" fontId="3" fillId="5" borderId="1" xfId="4" applyFont="1" applyFill="1"/>
    <xf numFmtId="0" fontId="3" fillId="0" borderId="2" xfId="4" applyFont="1" applyBorder="1"/>
    <xf numFmtId="8" fontId="5" fillId="0" borderId="1" xfId="4" applyNumberFormat="1"/>
    <xf numFmtId="8" fontId="5" fillId="4" borderId="2" xfId="4" applyNumberFormat="1" applyFill="1" applyBorder="1"/>
    <xf numFmtId="0" fontId="3" fillId="0" borderId="1" xfId="4" applyFont="1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8" fillId="0" borderId="0" xfId="0" applyFont="1" applyAlignment="1">
      <alignment horizontal="left" vertical="top" indent="1"/>
    </xf>
    <xf numFmtId="0" fontId="18" fillId="0" borderId="0" xfId="0" applyFont="1" applyAlignment="1">
      <alignment horizontal="left" vertical="center" indent="1"/>
    </xf>
    <xf numFmtId="0" fontId="2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vertical="center"/>
    </xf>
    <xf numFmtId="0" fontId="2" fillId="9" borderId="2" xfId="0" applyFont="1" applyFill="1" applyBorder="1"/>
    <xf numFmtId="0" fontId="2" fillId="0" borderId="0" xfId="0" applyFont="1" applyAlignment="1">
      <alignment horizontal="center"/>
    </xf>
    <xf numFmtId="0" fontId="21" fillId="0" borderId="0" xfId="0" applyFont="1"/>
    <xf numFmtId="44" fontId="5" fillId="3" borderId="28" xfId="1" applyFont="1" applyFill="1" applyBorder="1" applyAlignment="1">
      <alignment horizontal="center"/>
    </xf>
    <xf numFmtId="44" fontId="5" fillId="3" borderId="33" xfId="1" applyFont="1" applyFill="1" applyBorder="1" applyAlignment="1">
      <alignment horizontal="center"/>
    </xf>
    <xf numFmtId="44" fontId="5" fillId="3" borderId="11" xfId="1" applyFont="1" applyFill="1" applyBorder="1" applyAlignment="1">
      <alignment horizontal="center"/>
    </xf>
    <xf numFmtId="0" fontId="14" fillId="6" borderId="28" xfId="3" applyFill="1" applyBorder="1" applyAlignment="1">
      <alignment horizontal="center"/>
    </xf>
    <xf numFmtId="0" fontId="14" fillId="6" borderId="11" xfId="3" applyFill="1" applyBorder="1" applyAlignment="1">
      <alignment horizontal="center"/>
    </xf>
    <xf numFmtId="0" fontId="13" fillId="3" borderId="28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0" fontId="15" fillId="6" borderId="1" xfId="3" applyFont="1" applyFill="1" applyBorder="1" applyAlignment="1">
      <alignment horizontal="center"/>
    </xf>
    <xf numFmtId="0" fontId="0" fillId="3" borderId="32" xfId="0" applyFill="1" applyBorder="1" applyAlignment="1">
      <alignment horizontal="center" vertical="top"/>
    </xf>
    <xf numFmtId="0" fontId="0" fillId="3" borderId="31" xfId="0" applyFill="1" applyBorder="1" applyAlignment="1">
      <alignment horizontal="center" vertical="top"/>
    </xf>
    <xf numFmtId="0" fontId="0" fillId="3" borderId="29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5" fillId="3" borderId="29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44" fontId="0" fillId="0" borderId="10" xfId="1" applyFont="1" applyBorder="1" applyAlignment="1">
      <alignment horizontal="center"/>
    </xf>
    <xf numFmtId="44" fontId="0" fillId="0" borderId="11" xfId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vertical="center"/>
    </xf>
    <xf numFmtId="0" fontId="20" fillId="9" borderId="4" xfId="0" applyFont="1" applyFill="1" applyBorder="1" applyAlignment="1">
      <alignment horizontal="left" vertical="center"/>
    </xf>
    <xf numFmtId="0" fontId="20" fillId="9" borderId="51" xfId="0" applyFont="1" applyFill="1" applyBorder="1" applyAlignment="1">
      <alignment horizontal="left" vertical="center"/>
    </xf>
    <xf numFmtId="0" fontId="20" fillId="9" borderId="5" xfId="0" applyFont="1" applyFill="1" applyBorder="1" applyAlignment="1">
      <alignment horizontal="left" vertical="center"/>
    </xf>
    <xf numFmtId="0" fontId="20" fillId="0" borderId="2" xfId="0" applyFont="1" applyBorder="1" applyAlignment="1">
      <alignment vertical="top"/>
    </xf>
    <xf numFmtId="0" fontId="13" fillId="3" borderId="28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1" fillId="8" borderId="2" xfId="4" applyFont="1" applyFill="1" applyBorder="1" applyAlignment="1">
      <alignment horizontal="center" vertical="center"/>
    </xf>
    <xf numFmtId="0" fontId="11" fillId="5" borderId="21" xfId="4" applyFont="1" applyFill="1" applyBorder="1" applyAlignment="1">
      <alignment horizontal="center" vertical="center"/>
    </xf>
    <xf numFmtId="0" fontId="11" fillId="5" borderId="22" xfId="4" applyFont="1" applyFill="1" applyBorder="1" applyAlignment="1">
      <alignment horizontal="center" vertical="center"/>
    </xf>
    <xf numFmtId="0" fontId="11" fillId="5" borderId="23" xfId="4" applyFont="1" applyFill="1" applyBorder="1" applyAlignment="1">
      <alignment horizontal="center" vertical="center"/>
    </xf>
    <xf numFmtId="0" fontId="11" fillId="8" borderId="28" xfId="6" applyFont="1" applyFill="1" applyBorder="1" applyAlignment="1">
      <alignment horizontal="center" vertical="center"/>
    </xf>
    <xf numFmtId="0" fontId="11" fillId="8" borderId="33" xfId="6" applyFont="1" applyFill="1" applyBorder="1" applyAlignment="1">
      <alignment horizontal="center" vertical="center"/>
    </xf>
    <xf numFmtId="0" fontId="11" fillId="8" borderId="11" xfId="6" applyFont="1" applyFill="1" applyBorder="1" applyAlignment="1">
      <alignment horizontal="center" vertical="center"/>
    </xf>
    <xf numFmtId="0" fontId="4" fillId="9" borderId="35" xfId="6" applyFill="1" applyBorder="1" applyAlignment="1">
      <alignment horizontal="center" vertical="center" wrapText="1"/>
    </xf>
    <xf numFmtId="0" fontId="4" fillId="9" borderId="40" xfId="6" applyFill="1" applyBorder="1" applyAlignment="1">
      <alignment horizontal="center" vertical="center" wrapText="1"/>
    </xf>
    <xf numFmtId="44" fontId="4" fillId="9" borderId="37" xfId="6" applyNumberFormat="1" applyFill="1" applyBorder="1" applyAlignment="1">
      <alignment horizontal="center" vertical="center"/>
    </xf>
    <xf numFmtId="0" fontId="4" fillId="9" borderId="42" xfId="6" applyFill="1" applyBorder="1" applyAlignment="1">
      <alignment horizontal="center" vertical="center"/>
    </xf>
    <xf numFmtId="0" fontId="4" fillId="10" borderId="35" xfId="6" applyFill="1" applyBorder="1" applyAlignment="1">
      <alignment horizontal="center" vertical="center" wrapText="1"/>
    </xf>
    <xf numFmtId="0" fontId="4" fillId="10" borderId="40" xfId="6" applyFill="1" applyBorder="1" applyAlignment="1">
      <alignment horizontal="center" vertical="center" wrapText="1"/>
    </xf>
    <xf numFmtId="44" fontId="4" fillId="10" borderId="37" xfId="6" applyNumberFormat="1" applyFill="1" applyBorder="1" applyAlignment="1">
      <alignment horizontal="center" vertical="center"/>
    </xf>
    <xf numFmtId="0" fontId="4" fillId="10" borderId="42" xfId="6" applyFill="1" applyBorder="1" applyAlignment="1">
      <alignment horizontal="center" vertical="center"/>
    </xf>
    <xf numFmtId="44" fontId="4" fillId="9" borderId="6" xfId="6" applyNumberFormat="1" applyFill="1" applyBorder="1" applyAlignment="1">
      <alignment horizontal="center" vertical="center"/>
    </xf>
    <xf numFmtId="44" fontId="4" fillId="9" borderId="3" xfId="6" applyNumberFormat="1" applyFill="1" applyBorder="1" applyAlignment="1">
      <alignment horizontal="center" vertical="center"/>
    </xf>
    <xf numFmtId="44" fontId="4" fillId="10" borderId="6" xfId="6" applyNumberFormat="1" applyFill="1" applyBorder="1" applyAlignment="1">
      <alignment horizontal="center" vertical="center"/>
    </xf>
    <xf numFmtId="44" fontId="4" fillId="10" borderId="3" xfId="6" applyNumberFormat="1" applyFill="1" applyBorder="1" applyAlignment="1">
      <alignment horizontal="center" vertical="center"/>
    </xf>
    <xf numFmtId="0" fontId="4" fillId="9" borderId="43" xfId="6" applyFill="1" applyBorder="1" applyAlignment="1">
      <alignment horizontal="center" vertical="center" wrapText="1"/>
    </xf>
    <xf numFmtId="0" fontId="4" fillId="9" borderId="44" xfId="6" applyFill="1" applyBorder="1" applyAlignment="1">
      <alignment horizontal="center" vertical="center"/>
    </xf>
    <xf numFmtId="0" fontId="4" fillId="10" borderId="12" xfId="6" applyFill="1" applyBorder="1" applyAlignment="1">
      <alignment horizontal="center" vertical="center" wrapText="1"/>
    </xf>
    <xf numFmtId="0" fontId="4" fillId="10" borderId="15" xfId="6" applyFill="1" applyBorder="1" applyAlignment="1">
      <alignment horizontal="center" vertical="center" wrapText="1"/>
    </xf>
    <xf numFmtId="0" fontId="4" fillId="10" borderId="17" xfId="6" applyFill="1" applyBorder="1" applyAlignment="1">
      <alignment horizontal="center" vertical="center" wrapText="1"/>
    </xf>
    <xf numFmtId="0" fontId="4" fillId="10" borderId="44" xfId="6" applyFill="1" applyBorder="1" applyAlignment="1">
      <alignment horizontal="center" vertical="center"/>
    </xf>
    <xf numFmtId="0" fontId="4" fillId="9" borderId="12" xfId="6" applyFill="1" applyBorder="1" applyAlignment="1">
      <alignment horizontal="center" vertical="center" wrapText="1"/>
    </xf>
    <xf numFmtId="0" fontId="4" fillId="9" borderId="15" xfId="6" applyFill="1" applyBorder="1" applyAlignment="1">
      <alignment horizontal="center" vertical="center" wrapText="1"/>
    </xf>
    <xf numFmtId="0" fontId="4" fillId="9" borderId="17" xfId="6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</cellXfs>
  <cellStyles count="8">
    <cellStyle name="Currency" xfId="1" builtinId="4"/>
    <cellStyle name="Currency 2" xfId="5" xr:uid="{9E0FACAF-1EBD-4909-B741-D3E0A8762A56}"/>
    <cellStyle name="Currency 3" xfId="7" xr:uid="{7BB3008F-E576-4935-939D-68826812C8C8}"/>
    <cellStyle name="Hyperlink" xfId="3" builtinId="8"/>
    <cellStyle name="Normal" xfId="0" builtinId="0"/>
    <cellStyle name="Normal 2" xfId="4" xr:uid="{E27B1258-B3F7-4F17-B53D-0BEA521097EC}"/>
    <cellStyle name="Normal 3" xfId="6" xr:uid="{8846539E-DF6F-473F-8038-EC26ABD767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133351</xdr:rowOff>
    </xdr:from>
    <xdr:to>
      <xdr:col>11</xdr:col>
      <xdr:colOff>269618</xdr:colOff>
      <xdr:row>10</xdr:row>
      <xdr:rowOff>123826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C16AFA-C098-43F9-86E7-07BBE530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100" y="333376"/>
          <a:ext cx="2174618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133351</xdr:rowOff>
    </xdr:from>
    <xdr:to>
      <xdr:col>11</xdr:col>
      <xdr:colOff>401168</xdr:colOff>
      <xdr:row>10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60BD80-7C13-4679-BCF3-68699D26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6100" y="228601"/>
          <a:ext cx="2306168" cy="1809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C9A7-3A10-4210-AB30-042810749AEC}">
  <dimension ref="A1:L45"/>
  <sheetViews>
    <sheetView tabSelected="1" topLeftCell="A22" workbookViewId="0">
      <selection activeCell="E32" sqref="E32"/>
    </sheetView>
  </sheetViews>
  <sheetFormatPr defaultRowHeight="14.4" x14ac:dyDescent="0.3"/>
  <cols>
    <col min="1" max="1" width="5.44140625" style="3" customWidth="1"/>
    <col min="2" max="3" width="10.6640625" customWidth="1"/>
    <col min="4" max="4" width="75.6640625" customWidth="1"/>
    <col min="5" max="7" width="14.6640625" customWidth="1"/>
    <col min="8" max="8" width="14.33203125" customWidth="1"/>
    <col min="9" max="9" width="11.5546875" bestFit="1" customWidth="1"/>
    <col min="15" max="15" width="11.33203125" customWidth="1"/>
  </cols>
  <sheetData>
    <row r="1" spans="1:12" ht="15" thickBot="1" x14ac:dyDescent="0.35"/>
    <row r="2" spans="1:12" ht="24" customHeight="1" thickBot="1" x14ac:dyDescent="0.35">
      <c r="B2" s="281" t="s">
        <v>43</v>
      </c>
      <c r="C2" s="282"/>
      <c r="D2" s="282"/>
      <c r="E2" s="276" t="s">
        <v>42</v>
      </c>
      <c r="F2" s="277"/>
      <c r="G2" s="277"/>
      <c r="H2" s="278"/>
      <c r="I2" s="120"/>
      <c r="J2" s="69"/>
      <c r="K2" s="69"/>
      <c r="L2" s="75"/>
    </row>
    <row r="3" spans="1:12" x14ac:dyDescent="0.3">
      <c r="B3" s="284" t="s">
        <v>36</v>
      </c>
      <c r="C3" s="285"/>
      <c r="D3" s="81"/>
      <c r="E3" s="82"/>
      <c r="F3" s="71"/>
      <c r="G3" s="71"/>
      <c r="H3" s="76"/>
      <c r="I3" s="121"/>
      <c r="J3" s="70"/>
      <c r="K3" s="70"/>
      <c r="L3" s="76"/>
    </row>
    <row r="4" spans="1:12" x14ac:dyDescent="0.3">
      <c r="B4" s="286" t="s">
        <v>34</v>
      </c>
      <c r="C4" s="287"/>
      <c r="D4" s="78"/>
      <c r="E4" s="82"/>
      <c r="F4" s="71"/>
      <c r="G4" s="71"/>
      <c r="H4" s="76"/>
      <c r="I4" s="121"/>
      <c r="J4" s="70"/>
      <c r="K4" s="70"/>
      <c r="L4" s="76"/>
    </row>
    <row r="5" spans="1:12" x14ac:dyDescent="0.3">
      <c r="B5" s="286" t="s">
        <v>37</v>
      </c>
      <c r="C5" s="287"/>
      <c r="D5" s="78"/>
      <c r="E5" s="82"/>
      <c r="F5" s="71"/>
      <c r="G5" s="71"/>
      <c r="H5" s="76"/>
      <c r="I5" s="121"/>
      <c r="J5" s="70"/>
      <c r="K5" s="70"/>
      <c r="L5" s="76"/>
    </row>
    <row r="6" spans="1:12" x14ac:dyDescent="0.3">
      <c r="B6" s="286" t="s">
        <v>35</v>
      </c>
      <c r="C6" s="287"/>
      <c r="D6" s="78"/>
      <c r="E6" s="82"/>
      <c r="F6" s="71"/>
      <c r="G6" s="71"/>
      <c r="H6" s="76"/>
      <c r="I6" s="121"/>
      <c r="J6" s="70"/>
      <c r="K6" s="70"/>
      <c r="L6" s="76"/>
    </row>
    <row r="7" spans="1:12" x14ac:dyDescent="0.3">
      <c r="B7" s="288" t="s">
        <v>41</v>
      </c>
      <c r="C7" s="289"/>
      <c r="D7" s="78"/>
      <c r="E7" s="82"/>
      <c r="F7" s="71"/>
      <c r="G7" s="71"/>
      <c r="H7" s="76"/>
      <c r="I7" s="121"/>
      <c r="J7" s="70"/>
      <c r="K7" s="70"/>
      <c r="L7" s="76"/>
    </row>
    <row r="8" spans="1:12" x14ac:dyDescent="0.3">
      <c r="B8" s="288" t="s">
        <v>40</v>
      </c>
      <c r="C8" s="289"/>
      <c r="D8" s="78"/>
      <c r="E8" s="82"/>
      <c r="F8" s="71"/>
      <c r="G8" s="71"/>
      <c r="H8" s="76"/>
      <c r="I8" s="121"/>
      <c r="J8" s="70"/>
      <c r="K8" s="70"/>
      <c r="L8" s="76"/>
    </row>
    <row r="9" spans="1:12" x14ac:dyDescent="0.3">
      <c r="B9" s="288" t="s">
        <v>38</v>
      </c>
      <c r="C9" s="289"/>
      <c r="D9" s="79" t="s">
        <v>39</v>
      </c>
      <c r="E9" s="82"/>
      <c r="F9" s="71"/>
      <c r="G9" s="71"/>
      <c r="H9" s="76"/>
      <c r="I9" s="121"/>
      <c r="J9" s="70"/>
      <c r="K9" s="70"/>
      <c r="L9" s="76"/>
    </row>
    <row r="10" spans="1:12" ht="15" thickBot="1" x14ac:dyDescent="0.35">
      <c r="B10" s="74"/>
      <c r="C10" s="80"/>
      <c r="D10" s="70"/>
      <c r="E10" s="82"/>
      <c r="F10" s="71"/>
      <c r="G10" s="71"/>
      <c r="H10" s="76"/>
      <c r="I10" s="121"/>
      <c r="J10" s="70"/>
      <c r="K10" s="70"/>
      <c r="L10" s="76"/>
    </row>
    <row r="11" spans="1:12" ht="15" thickBot="1" x14ac:dyDescent="0.35">
      <c r="B11" s="279" t="str" cm="1">
        <f t="array" ref="B11">HYPERLINK("#G" &amp; MAX(ROW(F1:F100011)*(F1:F100011&lt;&gt;"")), "Go to Pricing Info")</f>
        <v>Go to Pricing Info</v>
      </c>
      <c r="C11" s="280"/>
      <c r="D11" s="72"/>
      <c r="E11" s="83"/>
      <c r="F11" s="73"/>
      <c r="G11" s="73"/>
      <c r="H11" s="77"/>
      <c r="I11" s="122"/>
      <c r="J11" s="72"/>
      <c r="K11" s="72"/>
      <c r="L11" s="77"/>
    </row>
    <row r="13" spans="1:12" x14ac:dyDescent="0.3">
      <c r="A13" s="271"/>
      <c r="B13" s="272" t="s">
        <v>330</v>
      </c>
      <c r="C13" s="273"/>
      <c r="D13" s="273"/>
      <c r="E13" s="271" t="s">
        <v>337</v>
      </c>
    </row>
    <row r="14" spans="1:12" ht="19.2" x14ac:dyDescent="0.3">
      <c r="A14" s="268">
        <v>1</v>
      </c>
      <c r="B14" s="297" t="s">
        <v>339</v>
      </c>
      <c r="C14" s="297"/>
      <c r="D14" s="297"/>
      <c r="E14" s="268"/>
      <c r="G14" s="269"/>
    </row>
    <row r="15" spans="1:12" ht="19.2" x14ac:dyDescent="0.3">
      <c r="A15" s="268">
        <v>2</v>
      </c>
      <c r="B15" s="297" t="s">
        <v>340</v>
      </c>
      <c r="C15" s="297"/>
      <c r="D15" s="297"/>
      <c r="E15" s="268"/>
      <c r="G15" s="269"/>
    </row>
    <row r="16" spans="1:12" ht="19.2" x14ac:dyDescent="0.3">
      <c r="A16" s="268">
        <v>3</v>
      </c>
      <c r="B16" s="297" t="s">
        <v>341</v>
      </c>
      <c r="C16" s="297"/>
      <c r="D16" s="297"/>
      <c r="E16" s="268"/>
      <c r="G16" s="269"/>
    </row>
    <row r="17" spans="1:7" ht="19.2" x14ac:dyDescent="0.3">
      <c r="A17" s="268">
        <v>4</v>
      </c>
      <c r="B17" s="297" t="s">
        <v>342</v>
      </c>
      <c r="C17" s="297"/>
      <c r="D17" s="297"/>
      <c r="E17" s="268"/>
      <c r="G17" s="269"/>
    </row>
    <row r="18" spans="1:7" ht="19.2" x14ac:dyDescent="0.3">
      <c r="A18" s="268">
        <v>5</v>
      </c>
      <c r="B18" s="297" t="s">
        <v>345</v>
      </c>
      <c r="C18" s="297"/>
      <c r="D18" s="297"/>
      <c r="E18" s="268"/>
      <c r="G18" s="269"/>
    </row>
    <row r="19" spans="1:7" ht="19.2" x14ac:dyDescent="0.3">
      <c r="A19" s="268">
        <v>6</v>
      </c>
      <c r="B19" s="297" t="s">
        <v>343</v>
      </c>
      <c r="C19" s="297"/>
      <c r="D19" s="297"/>
      <c r="E19" s="328" t="s">
        <v>337</v>
      </c>
      <c r="G19" s="269"/>
    </row>
    <row r="20" spans="1:7" ht="19.2" x14ac:dyDescent="0.3">
      <c r="A20" s="268">
        <v>7</v>
      </c>
      <c r="B20" s="297" t="s">
        <v>344</v>
      </c>
      <c r="C20" s="297"/>
      <c r="D20" s="297"/>
      <c r="E20" s="268"/>
      <c r="G20" s="269"/>
    </row>
    <row r="21" spans="1:7" x14ac:dyDescent="0.3">
      <c r="A21" s="274"/>
      <c r="B21" s="266"/>
      <c r="C21" s="266"/>
      <c r="D21" s="266"/>
      <c r="E21" s="266"/>
    </row>
    <row r="22" spans="1:7" x14ac:dyDescent="0.3">
      <c r="A22" s="271"/>
      <c r="B22" s="272" t="s">
        <v>336</v>
      </c>
      <c r="C22" s="273"/>
      <c r="D22" s="273"/>
      <c r="E22" s="273"/>
    </row>
    <row r="23" spans="1:7" ht="19.2" x14ac:dyDescent="0.3">
      <c r="A23" s="271">
        <v>1</v>
      </c>
      <c r="B23" s="294" t="s">
        <v>346</v>
      </c>
      <c r="C23" s="295"/>
      <c r="D23" s="296"/>
      <c r="E23" s="273"/>
      <c r="G23" s="270"/>
    </row>
    <row r="24" spans="1:7" ht="19.2" x14ac:dyDescent="0.3">
      <c r="A24" s="271">
        <v>2</v>
      </c>
      <c r="B24" s="294" t="s">
        <v>347</v>
      </c>
      <c r="C24" s="295"/>
      <c r="D24" s="296"/>
      <c r="E24" s="273"/>
      <c r="G24" s="270"/>
    </row>
    <row r="25" spans="1:7" ht="19.2" x14ac:dyDescent="0.3">
      <c r="A25" s="271">
        <v>3</v>
      </c>
      <c r="B25" s="294" t="s">
        <v>348</v>
      </c>
      <c r="C25" s="295"/>
      <c r="D25" s="296"/>
      <c r="E25" s="273"/>
      <c r="G25" s="270"/>
    </row>
    <row r="26" spans="1:7" ht="19.2" x14ac:dyDescent="0.3">
      <c r="A26" s="271">
        <v>4</v>
      </c>
      <c r="B26" s="294" t="s">
        <v>349</v>
      </c>
      <c r="C26" s="295"/>
      <c r="D26" s="296"/>
      <c r="E26" s="273"/>
      <c r="G26" s="270"/>
    </row>
    <row r="27" spans="1:7" ht="19.2" x14ac:dyDescent="0.3">
      <c r="A27" s="271">
        <v>5</v>
      </c>
      <c r="B27" s="294" t="s">
        <v>350</v>
      </c>
      <c r="C27" s="295"/>
      <c r="D27" s="296"/>
      <c r="E27" s="273"/>
      <c r="G27" s="270"/>
    </row>
    <row r="28" spans="1:7" ht="19.2" x14ac:dyDescent="0.3">
      <c r="A28" s="271">
        <v>6</v>
      </c>
      <c r="B28" s="294" t="s">
        <v>351</v>
      </c>
      <c r="C28" s="295"/>
      <c r="D28" s="296"/>
      <c r="E28" s="273"/>
      <c r="G28" s="270"/>
    </row>
    <row r="29" spans="1:7" x14ac:dyDescent="0.3">
      <c r="A29" s="274"/>
      <c r="B29" s="275"/>
      <c r="C29" s="266"/>
      <c r="D29" s="266"/>
      <c r="E29" s="266"/>
    </row>
    <row r="30" spans="1:7" x14ac:dyDescent="0.3">
      <c r="A30" s="271"/>
      <c r="B30" s="272" t="s">
        <v>338</v>
      </c>
      <c r="C30" s="273"/>
      <c r="D30" s="273"/>
      <c r="E30" s="273"/>
    </row>
    <row r="31" spans="1:7" ht="19.2" x14ac:dyDescent="0.3">
      <c r="A31" s="268"/>
      <c r="B31" s="293" t="s">
        <v>352</v>
      </c>
      <c r="C31" s="293"/>
      <c r="D31" s="293"/>
      <c r="E31" s="329" t="s">
        <v>361</v>
      </c>
      <c r="G31" s="270"/>
    </row>
    <row r="32" spans="1:7" ht="19.2" x14ac:dyDescent="0.3">
      <c r="A32" s="268"/>
      <c r="B32" s="293" t="s">
        <v>335</v>
      </c>
      <c r="C32" s="293"/>
      <c r="D32" s="293"/>
      <c r="E32" s="267"/>
      <c r="G32" s="270"/>
    </row>
    <row r="33" spans="1:7" ht="19.2" x14ac:dyDescent="0.3">
      <c r="A33" s="268"/>
      <c r="B33" s="293" t="s">
        <v>353</v>
      </c>
      <c r="C33" s="293"/>
      <c r="D33" s="293"/>
      <c r="E33" s="267"/>
      <c r="G33" s="270"/>
    </row>
    <row r="34" spans="1:7" ht="19.2" x14ac:dyDescent="0.3">
      <c r="A34" s="268"/>
      <c r="B34" s="293" t="s">
        <v>331</v>
      </c>
      <c r="C34" s="293"/>
      <c r="D34" s="293"/>
      <c r="E34" s="267"/>
      <c r="G34" s="270"/>
    </row>
    <row r="35" spans="1:7" ht="19.2" x14ac:dyDescent="0.3">
      <c r="A35" s="268"/>
      <c r="B35" s="293" t="s">
        <v>332</v>
      </c>
      <c r="C35" s="293"/>
      <c r="D35" s="293"/>
      <c r="E35" s="267"/>
      <c r="G35" s="270"/>
    </row>
    <row r="36" spans="1:7" ht="19.2" x14ac:dyDescent="0.3">
      <c r="A36" s="268"/>
      <c r="B36" s="293" t="s">
        <v>354</v>
      </c>
      <c r="C36" s="293"/>
      <c r="D36" s="293"/>
      <c r="E36" s="267"/>
      <c r="G36" s="270"/>
    </row>
    <row r="37" spans="1:7" ht="19.2" x14ac:dyDescent="0.3">
      <c r="A37" s="268"/>
      <c r="B37" s="293" t="s">
        <v>355</v>
      </c>
      <c r="C37" s="293"/>
      <c r="D37" s="293"/>
      <c r="E37" s="267"/>
      <c r="G37" s="270"/>
    </row>
    <row r="38" spans="1:7" ht="19.2" x14ac:dyDescent="0.3">
      <c r="A38" s="268"/>
      <c r="B38" s="293" t="s">
        <v>356</v>
      </c>
      <c r="C38" s="293"/>
      <c r="D38" s="293"/>
      <c r="E38" s="267"/>
      <c r="G38" s="270"/>
    </row>
    <row r="39" spans="1:7" ht="19.2" x14ac:dyDescent="0.3">
      <c r="A39" s="268"/>
      <c r="B39" s="293" t="s">
        <v>357</v>
      </c>
      <c r="C39" s="293"/>
      <c r="D39" s="293"/>
      <c r="E39" s="267"/>
      <c r="G39" s="270"/>
    </row>
    <row r="40" spans="1:7" ht="19.2" x14ac:dyDescent="0.3">
      <c r="A40" s="268"/>
      <c r="B40" s="293" t="s">
        <v>358</v>
      </c>
      <c r="C40" s="293"/>
      <c r="D40" s="293"/>
      <c r="E40" s="267"/>
      <c r="G40" s="270"/>
    </row>
    <row r="41" spans="1:7" ht="19.2" x14ac:dyDescent="0.3">
      <c r="A41" s="268"/>
      <c r="B41" s="293" t="s">
        <v>359</v>
      </c>
      <c r="C41" s="293"/>
      <c r="D41" s="293"/>
      <c r="E41" s="267"/>
      <c r="G41" s="270"/>
    </row>
    <row r="42" spans="1:7" ht="19.2" x14ac:dyDescent="0.3">
      <c r="A42" s="268"/>
      <c r="B42" s="293" t="s">
        <v>333</v>
      </c>
      <c r="C42" s="293"/>
      <c r="D42" s="293"/>
      <c r="E42" s="267"/>
      <c r="G42" s="270"/>
    </row>
    <row r="43" spans="1:7" ht="19.2" x14ac:dyDescent="0.3">
      <c r="A43" s="268"/>
      <c r="B43" s="293" t="s">
        <v>334</v>
      </c>
      <c r="C43" s="293"/>
      <c r="D43" s="293"/>
      <c r="E43" s="267"/>
      <c r="G43" s="270"/>
    </row>
    <row r="44" spans="1:7" ht="19.2" x14ac:dyDescent="0.3">
      <c r="A44" s="268"/>
      <c r="B44" s="293" t="s">
        <v>360</v>
      </c>
      <c r="C44" s="293"/>
      <c r="D44" s="293"/>
      <c r="E44" s="267"/>
      <c r="G44" s="270"/>
    </row>
    <row r="45" spans="1:7" x14ac:dyDescent="0.3">
      <c r="A45" s="268"/>
      <c r="B45" s="292"/>
      <c r="C45" s="292"/>
      <c r="D45" s="292"/>
      <c r="E45" s="267"/>
    </row>
  </sheetData>
  <mergeCells count="38">
    <mergeCell ref="B6:C6"/>
    <mergeCell ref="B2:D2"/>
    <mergeCell ref="E2:H2"/>
    <mergeCell ref="B3:C3"/>
    <mergeCell ref="B4:C4"/>
    <mergeCell ref="B5:C5"/>
    <mergeCell ref="B14:D14"/>
    <mergeCell ref="B15:D15"/>
    <mergeCell ref="B7:C7"/>
    <mergeCell ref="B8:C8"/>
    <mergeCell ref="B9:C9"/>
    <mergeCell ref="B11:C11"/>
    <mergeCell ref="B19:D19"/>
    <mergeCell ref="B18:D18"/>
    <mergeCell ref="B17:D17"/>
    <mergeCell ref="B16:D16"/>
    <mergeCell ref="B31:D31"/>
    <mergeCell ref="B34:D34"/>
    <mergeCell ref="B35:D35"/>
    <mergeCell ref="B36:D36"/>
    <mergeCell ref="B37:D37"/>
    <mergeCell ref="B20:D20"/>
    <mergeCell ref="B45:D45"/>
    <mergeCell ref="B44:D44"/>
    <mergeCell ref="B25:D25"/>
    <mergeCell ref="B23:D23"/>
    <mergeCell ref="B24:D24"/>
    <mergeCell ref="B26:D26"/>
    <mergeCell ref="B27:D27"/>
    <mergeCell ref="B28:D28"/>
    <mergeCell ref="B38:D38"/>
    <mergeCell ref="B39:D39"/>
    <mergeCell ref="B40:D40"/>
    <mergeCell ref="B41:D41"/>
    <mergeCell ref="B42:D42"/>
    <mergeCell ref="B43:D43"/>
    <mergeCell ref="B32:D32"/>
    <mergeCell ref="B33:D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7EC8-1719-4FEC-A152-F2500DDB4563}">
  <dimension ref="A1:P229"/>
  <sheetViews>
    <sheetView showGridLines="0" topLeftCell="A181" zoomScaleNormal="100" workbookViewId="0">
      <selection activeCell="O192" sqref="O192"/>
    </sheetView>
  </sheetViews>
  <sheetFormatPr defaultRowHeight="14.4" x14ac:dyDescent="0.3"/>
  <cols>
    <col min="1" max="1" width="3.6640625" customWidth="1"/>
    <col min="2" max="3" width="10.6640625" style="3" customWidth="1"/>
    <col min="4" max="4" width="75.6640625" customWidth="1"/>
    <col min="5" max="7" width="14.6640625" style="2" customWidth="1"/>
    <col min="8" max="8" width="14.33203125" customWidth="1"/>
    <col min="9" max="9" width="11.5546875" bestFit="1" customWidth="1"/>
    <col min="15" max="15" width="11.33203125" customWidth="1"/>
  </cols>
  <sheetData>
    <row r="1" spans="2:12" ht="7.5" customHeight="1" thickBot="1" x14ac:dyDescent="0.35"/>
    <row r="2" spans="2:12" ht="24" customHeight="1" thickBot="1" x14ac:dyDescent="0.35">
      <c r="B2" s="281" t="s">
        <v>43</v>
      </c>
      <c r="C2" s="282"/>
      <c r="D2" s="282"/>
      <c r="E2" s="276" t="s">
        <v>42</v>
      </c>
      <c r="F2" s="277"/>
      <c r="G2" s="277"/>
      <c r="H2" s="278"/>
      <c r="I2" s="120"/>
      <c r="J2" s="69"/>
      <c r="K2" s="69"/>
      <c r="L2" s="75"/>
    </row>
    <row r="3" spans="2:12" x14ac:dyDescent="0.3">
      <c r="B3" s="284" t="s">
        <v>36</v>
      </c>
      <c r="C3" s="285"/>
      <c r="D3" s="81"/>
      <c r="E3" s="82"/>
      <c r="F3" s="71"/>
      <c r="G3" s="71"/>
      <c r="H3" s="76"/>
      <c r="I3" s="121"/>
      <c r="J3" s="70"/>
      <c r="K3" s="70"/>
      <c r="L3" s="76"/>
    </row>
    <row r="4" spans="2:12" x14ac:dyDescent="0.3">
      <c r="B4" s="286" t="s">
        <v>34</v>
      </c>
      <c r="C4" s="287"/>
      <c r="D4" s="78"/>
      <c r="E4" s="82"/>
      <c r="F4" s="71"/>
      <c r="G4" s="71"/>
      <c r="H4" s="76"/>
      <c r="I4" s="121"/>
      <c r="J4" s="70"/>
      <c r="K4" s="70"/>
      <c r="L4" s="76"/>
    </row>
    <row r="5" spans="2:12" x14ac:dyDescent="0.3">
      <c r="B5" s="286" t="s">
        <v>37</v>
      </c>
      <c r="C5" s="287"/>
      <c r="D5" s="78"/>
      <c r="E5" s="82"/>
      <c r="F5" s="71"/>
      <c r="G5" s="71"/>
      <c r="H5" s="76"/>
      <c r="I5" s="121"/>
      <c r="J5" s="70"/>
      <c r="K5" s="70"/>
      <c r="L5" s="76"/>
    </row>
    <row r="6" spans="2:12" x14ac:dyDescent="0.3">
      <c r="B6" s="286" t="s">
        <v>35</v>
      </c>
      <c r="C6" s="287"/>
      <c r="D6" s="78"/>
      <c r="E6" s="82"/>
      <c r="F6" s="71"/>
      <c r="G6" s="71"/>
      <c r="H6" s="76"/>
      <c r="I6" s="121"/>
      <c r="J6" s="70"/>
      <c r="K6" s="70"/>
      <c r="L6" s="76"/>
    </row>
    <row r="7" spans="2:12" x14ac:dyDescent="0.3">
      <c r="B7" s="288" t="s">
        <v>41</v>
      </c>
      <c r="C7" s="289"/>
      <c r="D7" s="78"/>
      <c r="E7" s="82"/>
      <c r="F7" s="71"/>
      <c r="G7" s="71"/>
      <c r="H7" s="76"/>
      <c r="I7" s="121"/>
      <c r="J7" s="70"/>
      <c r="K7" s="70"/>
      <c r="L7" s="76"/>
    </row>
    <row r="8" spans="2:12" x14ac:dyDescent="0.3">
      <c r="B8" s="288" t="s">
        <v>40</v>
      </c>
      <c r="C8" s="289"/>
      <c r="D8" s="78"/>
      <c r="E8" s="82"/>
      <c r="F8" s="71"/>
      <c r="G8" s="71"/>
      <c r="H8" s="76"/>
      <c r="I8" s="121"/>
      <c r="J8" s="70"/>
      <c r="K8" s="70"/>
      <c r="L8" s="76"/>
    </row>
    <row r="9" spans="2:12" x14ac:dyDescent="0.3">
      <c r="B9" s="288" t="s">
        <v>38</v>
      </c>
      <c r="C9" s="289"/>
      <c r="D9" s="79" t="s">
        <v>39</v>
      </c>
      <c r="E9" s="82"/>
      <c r="F9" s="71"/>
      <c r="G9" s="71"/>
      <c r="H9" s="76"/>
      <c r="I9" s="121"/>
      <c r="J9" s="70"/>
      <c r="K9" s="70"/>
      <c r="L9" s="76"/>
    </row>
    <row r="10" spans="2:12" ht="15" thickBot="1" x14ac:dyDescent="0.35">
      <c r="B10" s="74"/>
      <c r="C10" s="80"/>
      <c r="D10" s="70"/>
      <c r="E10" s="82"/>
      <c r="F10" s="71"/>
      <c r="G10" s="71"/>
      <c r="H10" s="76"/>
      <c r="I10" s="121"/>
      <c r="J10" s="70"/>
      <c r="K10" s="70"/>
      <c r="L10" s="76"/>
    </row>
    <row r="11" spans="2:12" ht="15" thickBot="1" x14ac:dyDescent="0.35">
      <c r="B11" s="279" t="str" cm="1">
        <f t="array" ref="B11">HYPERLINK("#G" &amp; MAX(ROW(F1:F100000)*(F1:F100000&lt;&gt;"")), "Go to Pricing Info")</f>
        <v>Go to Pricing Info</v>
      </c>
      <c r="C11" s="280"/>
      <c r="D11" s="72"/>
      <c r="E11" s="83"/>
      <c r="F11" s="73"/>
      <c r="G11" s="73"/>
      <c r="H11" s="77"/>
      <c r="I11" s="122"/>
      <c r="J11" s="72"/>
      <c r="K11" s="72"/>
      <c r="L11" s="77"/>
    </row>
    <row r="13" spans="2:12" x14ac:dyDescent="0.3">
      <c r="B13" s="9" t="s">
        <v>1</v>
      </c>
      <c r="C13" s="9" t="s">
        <v>2</v>
      </c>
      <c r="D13" s="9" t="s">
        <v>3</v>
      </c>
      <c r="E13" s="10" t="s">
        <v>4</v>
      </c>
      <c r="F13" s="10" t="s">
        <v>5</v>
      </c>
      <c r="G13" s="10" t="s">
        <v>6</v>
      </c>
    </row>
    <row r="14" spans="2:12" x14ac:dyDescent="0.3">
      <c r="B14" s="62"/>
      <c r="C14" s="63">
        <v>1</v>
      </c>
      <c r="D14" s="64"/>
      <c r="E14" s="84"/>
      <c r="F14" s="85">
        <f>C14*E14</f>
        <v>0</v>
      </c>
      <c r="G14" s="86"/>
    </row>
    <row r="15" spans="2:12" x14ac:dyDescent="0.3">
      <c r="B15" s="62"/>
      <c r="C15" s="62"/>
      <c r="D15" s="65"/>
      <c r="E15" s="86"/>
      <c r="F15" s="85">
        <f t="shared" ref="F15:F78" si="0">C15*E15</f>
        <v>0</v>
      </c>
      <c r="G15" s="86"/>
    </row>
    <row r="16" spans="2:12" x14ac:dyDescent="0.3">
      <c r="B16" s="62"/>
      <c r="C16" s="63"/>
      <c r="D16" s="64"/>
      <c r="E16" s="84"/>
      <c r="F16" s="85">
        <f t="shared" si="0"/>
        <v>0</v>
      </c>
      <c r="G16" s="86"/>
    </row>
    <row r="17" spans="2:7" x14ac:dyDescent="0.3">
      <c r="B17" s="62"/>
      <c r="C17" s="62"/>
      <c r="D17" s="65"/>
      <c r="E17" s="86"/>
      <c r="F17" s="85">
        <f t="shared" si="0"/>
        <v>0</v>
      </c>
      <c r="G17" s="86"/>
    </row>
    <row r="18" spans="2:7" x14ac:dyDescent="0.3">
      <c r="B18" s="62"/>
      <c r="C18" s="63"/>
      <c r="D18" s="64"/>
      <c r="E18" s="84"/>
      <c r="F18" s="85">
        <f t="shared" si="0"/>
        <v>0</v>
      </c>
      <c r="G18" s="86"/>
    </row>
    <row r="19" spans="2:7" x14ac:dyDescent="0.3">
      <c r="B19" s="62"/>
      <c r="C19" s="62"/>
      <c r="D19" s="65"/>
      <c r="E19" s="86"/>
      <c r="F19" s="85">
        <f t="shared" si="0"/>
        <v>0</v>
      </c>
      <c r="G19" s="86"/>
    </row>
    <row r="20" spans="2:7" x14ac:dyDescent="0.3">
      <c r="B20" s="12"/>
      <c r="C20" s="63"/>
      <c r="D20" s="64"/>
      <c r="E20" s="84"/>
      <c r="F20" s="85">
        <f t="shared" si="0"/>
        <v>0</v>
      </c>
      <c r="G20" s="86"/>
    </row>
    <row r="21" spans="2:7" x14ac:dyDescent="0.3">
      <c r="B21" s="62"/>
      <c r="C21" s="62"/>
      <c r="D21" s="65"/>
      <c r="E21" s="86"/>
      <c r="F21" s="85">
        <f t="shared" si="0"/>
        <v>0</v>
      </c>
      <c r="G21" s="86"/>
    </row>
    <row r="22" spans="2:7" x14ac:dyDescent="0.3">
      <c r="B22" s="62"/>
      <c r="C22" s="63"/>
      <c r="D22" s="64"/>
      <c r="E22" s="84"/>
      <c r="F22" s="85">
        <f t="shared" si="0"/>
        <v>0</v>
      </c>
      <c r="G22" s="86"/>
    </row>
    <row r="23" spans="2:7" x14ac:dyDescent="0.3">
      <c r="B23" s="62"/>
      <c r="C23" s="62"/>
      <c r="D23" s="65"/>
      <c r="E23" s="86"/>
      <c r="F23" s="85">
        <f t="shared" si="0"/>
        <v>0</v>
      </c>
      <c r="G23" s="86"/>
    </row>
    <row r="24" spans="2:7" x14ac:dyDescent="0.3">
      <c r="B24" s="62"/>
      <c r="C24" s="63"/>
      <c r="D24" s="66"/>
      <c r="E24" s="84"/>
      <c r="F24" s="85">
        <f t="shared" si="0"/>
        <v>0</v>
      </c>
      <c r="G24" s="86"/>
    </row>
    <row r="25" spans="2:7" x14ac:dyDescent="0.3">
      <c r="B25" s="62"/>
      <c r="C25" s="62"/>
      <c r="D25" s="65"/>
      <c r="E25" s="86"/>
      <c r="F25" s="85">
        <f t="shared" si="0"/>
        <v>0</v>
      </c>
      <c r="G25" s="86"/>
    </row>
    <row r="26" spans="2:7" x14ac:dyDescent="0.3">
      <c r="B26" s="62"/>
      <c r="C26" s="63"/>
      <c r="D26" s="64"/>
      <c r="E26" s="84"/>
      <c r="F26" s="85">
        <f t="shared" si="0"/>
        <v>0</v>
      </c>
      <c r="G26" s="86"/>
    </row>
    <row r="27" spans="2:7" x14ac:dyDescent="0.3">
      <c r="B27" s="62"/>
      <c r="C27" s="62"/>
      <c r="D27" s="65"/>
      <c r="E27" s="86"/>
      <c r="F27" s="85">
        <f t="shared" si="0"/>
        <v>0</v>
      </c>
      <c r="G27" s="86"/>
    </row>
    <row r="28" spans="2:7" x14ac:dyDescent="0.3">
      <c r="B28" s="62"/>
      <c r="C28" s="63"/>
      <c r="D28" s="64"/>
      <c r="E28" s="84"/>
      <c r="F28" s="85">
        <f t="shared" si="0"/>
        <v>0</v>
      </c>
      <c r="G28" s="86"/>
    </row>
    <row r="29" spans="2:7" x14ac:dyDescent="0.3">
      <c r="B29" s="62"/>
      <c r="C29" s="62"/>
      <c r="D29" s="65"/>
      <c r="E29" s="86"/>
      <c r="F29" s="85">
        <f t="shared" si="0"/>
        <v>0</v>
      </c>
      <c r="G29" s="86"/>
    </row>
    <row r="30" spans="2:7" x14ac:dyDescent="0.3">
      <c r="B30" s="62"/>
      <c r="C30" s="63"/>
      <c r="D30" s="64"/>
      <c r="E30" s="84"/>
      <c r="F30" s="85">
        <f t="shared" si="0"/>
        <v>0</v>
      </c>
      <c r="G30" s="86"/>
    </row>
    <row r="31" spans="2:7" x14ac:dyDescent="0.3">
      <c r="B31" s="62"/>
      <c r="C31" s="62"/>
      <c r="D31" s="65"/>
      <c r="E31" s="86"/>
      <c r="F31" s="85">
        <f t="shared" si="0"/>
        <v>0</v>
      </c>
      <c r="G31" s="86"/>
    </row>
    <row r="32" spans="2:7" x14ac:dyDescent="0.3">
      <c r="B32" s="62"/>
      <c r="C32" s="63"/>
      <c r="D32" s="64"/>
      <c r="E32" s="84"/>
      <c r="F32" s="85">
        <f t="shared" si="0"/>
        <v>0</v>
      </c>
      <c r="G32" s="86"/>
    </row>
    <row r="33" spans="2:7" x14ac:dyDescent="0.3">
      <c r="B33" s="62"/>
      <c r="C33" s="62"/>
      <c r="D33" s="65"/>
      <c r="E33" s="86"/>
      <c r="F33" s="85">
        <f t="shared" si="0"/>
        <v>0</v>
      </c>
      <c r="G33" s="86"/>
    </row>
    <row r="34" spans="2:7" x14ac:dyDescent="0.3">
      <c r="B34" s="62"/>
      <c r="C34" s="63"/>
      <c r="D34" s="64"/>
      <c r="E34" s="84"/>
      <c r="F34" s="85">
        <f t="shared" si="0"/>
        <v>0</v>
      </c>
      <c r="G34" s="86"/>
    </row>
    <row r="35" spans="2:7" x14ac:dyDescent="0.3">
      <c r="B35" s="62"/>
      <c r="C35" s="62"/>
      <c r="D35" s="65"/>
      <c r="E35" s="86"/>
      <c r="F35" s="85">
        <f t="shared" si="0"/>
        <v>0</v>
      </c>
      <c r="G35" s="86"/>
    </row>
    <row r="36" spans="2:7" x14ac:dyDescent="0.3">
      <c r="B36" s="62"/>
      <c r="C36" s="63"/>
      <c r="D36" s="64"/>
      <c r="E36" s="84"/>
      <c r="F36" s="85">
        <f t="shared" si="0"/>
        <v>0</v>
      </c>
      <c r="G36" s="86"/>
    </row>
    <row r="37" spans="2:7" x14ac:dyDescent="0.3">
      <c r="B37" s="62"/>
      <c r="C37" s="62"/>
      <c r="D37" s="65"/>
      <c r="E37" s="86"/>
      <c r="F37" s="85">
        <f t="shared" si="0"/>
        <v>0</v>
      </c>
      <c r="G37" s="86"/>
    </row>
    <row r="38" spans="2:7" x14ac:dyDescent="0.3">
      <c r="B38" s="62"/>
      <c r="C38" s="63"/>
      <c r="D38" s="64"/>
      <c r="E38" s="84"/>
      <c r="F38" s="85">
        <f t="shared" si="0"/>
        <v>0</v>
      </c>
      <c r="G38" s="86"/>
    </row>
    <row r="39" spans="2:7" x14ac:dyDescent="0.3">
      <c r="B39" s="62"/>
      <c r="C39" s="62"/>
      <c r="D39" s="65"/>
      <c r="E39" s="86"/>
      <c r="F39" s="85">
        <f t="shared" si="0"/>
        <v>0</v>
      </c>
      <c r="G39" s="86"/>
    </row>
    <row r="40" spans="2:7" x14ac:dyDescent="0.3">
      <c r="B40" s="62"/>
      <c r="C40" s="63"/>
      <c r="D40" s="64"/>
      <c r="E40" s="84"/>
      <c r="F40" s="85">
        <f t="shared" si="0"/>
        <v>0</v>
      </c>
      <c r="G40" s="86"/>
    </row>
    <row r="41" spans="2:7" x14ac:dyDescent="0.3">
      <c r="B41" s="62"/>
      <c r="C41" s="62"/>
      <c r="D41" s="65"/>
      <c r="E41" s="86"/>
      <c r="F41" s="85">
        <f t="shared" si="0"/>
        <v>0</v>
      </c>
      <c r="G41" s="86"/>
    </row>
    <row r="42" spans="2:7" x14ac:dyDescent="0.3">
      <c r="B42" s="62"/>
      <c r="C42" s="63"/>
      <c r="D42" s="64"/>
      <c r="E42" s="84"/>
      <c r="F42" s="85">
        <f t="shared" si="0"/>
        <v>0</v>
      </c>
      <c r="G42" s="86"/>
    </row>
    <row r="43" spans="2:7" x14ac:dyDescent="0.3">
      <c r="B43" s="62"/>
      <c r="C43" s="63"/>
      <c r="D43" s="64"/>
      <c r="E43" s="84"/>
      <c r="F43" s="85">
        <f t="shared" si="0"/>
        <v>0</v>
      </c>
      <c r="G43" s="86"/>
    </row>
    <row r="44" spans="2:7" x14ac:dyDescent="0.3">
      <c r="B44" s="62"/>
      <c r="C44" s="63"/>
      <c r="D44" s="64"/>
      <c r="E44" s="84"/>
      <c r="F44" s="85">
        <f t="shared" si="0"/>
        <v>0</v>
      </c>
      <c r="G44" s="86"/>
    </row>
    <row r="45" spans="2:7" x14ac:dyDescent="0.3">
      <c r="B45" s="62"/>
      <c r="C45" s="63"/>
      <c r="D45" s="64"/>
      <c r="E45" s="84"/>
      <c r="F45" s="85">
        <f t="shared" si="0"/>
        <v>0</v>
      </c>
      <c r="G45" s="86"/>
    </row>
    <row r="46" spans="2:7" x14ac:dyDescent="0.3">
      <c r="B46" s="62"/>
      <c r="C46" s="63"/>
      <c r="D46" s="64"/>
      <c r="E46" s="84"/>
      <c r="F46" s="85">
        <f t="shared" si="0"/>
        <v>0</v>
      </c>
      <c r="G46" s="86"/>
    </row>
    <row r="47" spans="2:7" x14ac:dyDescent="0.3">
      <c r="B47" s="62"/>
      <c r="C47" s="63"/>
      <c r="D47" s="64"/>
      <c r="E47" s="84"/>
      <c r="F47" s="85">
        <f t="shared" si="0"/>
        <v>0</v>
      </c>
      <c r="G47" s="86"/>
    </row>
    <row r="48" spans="2:7" x14ac:dyDescent="0.3">
      <c r="B48" s="62"/>
      <c r="C48" s="63"/>
      <c r="D48" s="64"/>
      <c r="E48" s="84"/>
      <c r="F48" s="85">
        <f t="shared" si="0"/>
        <v>0</v>
      </c>
      <c r="G48" s="86"/>
    </row>
    <row r="49" spans="2:7" x14ac:dyDescent="0.3">
      <c r="B49" s="62"/>
      <c r="C49" s="63"/>
      <c r="D49" s="64"/>
      <c r="E49" s="84"/>
      <c r="F49" s="85">
        <f t="shared" si="0"/>
        <v>0</v>
      </c>
      <c r="G49" s="86"/>
    </row>
    <row r="50" spans="2:7" x14ac:dyDescent="0.3">
      <c r="B50" s="62"/>
      <c r="C50" s="63"/>
      <c r="D50" s="64"/>
      <c r="E50" s="84"/>
      <c r="F50" s="85">
        <f t="shared" si="0"/>
        <v>0</v>
      </c>
      <c r="G50" s="86"/>
    </row>
    <row r="51" spans="2:7" x14ac:dyDescent="0.3">
      <c r="B51" s="62"/>
      <c r="C51" s="63"/>
      <c r="D51" s="64"/>
      <c r="E51" s="84"/>
      <c r="F51" s="85">
        <f t="shared" si="0"/>
        <v>0</v>
      </c>
      <c r="G51" s="86"/>
    </row>
    <row r="52" spans="2:7" x14ac:dyDescent="0.3">
      <c r="B52" s="62"/>
      <c r="C52" s="63"/>
      <c r="D52" s="64"/>
      <c r="E52" s="84"/>
      <c r="F52" s="85">
        <f t="shared" si="0"/>
        <v>0</v>
      </c>
      <c r="G52" s="86"/>
    </row>
    <row r="53" spans="2:7" x14ac:dyDescent="0.3">
      <c r="B53" s="62"/>
      <c r="C53" s="63"/>
      <c r="D53" s="64"/>
      <c r="E53" s="84"/>
      <c r="F53" s="85">
        <f t="shared" si="0"/>
        <v>0</v>
      </c>
      <c r="G53" s="86"/>
    </row>
    <row r="54" spans="2:7" x14ac:dyDescent="0.3">
      <c r="B54" s="62"/>
      <c r="C54" s="63"/>
      <c r="D54" s="64"/>
      <c r="E54" s="84"/>
      <c r="F54" s="85">
        <f t="shared" si="0"/>
        <v>0</v>
      </c>
      <c r="G54" s="86"/>
    </row>
    <row r="55" spans="2:7" x14ac:dyDescent="0.3">
      <c r="B55" s="62"/>
      <c r="C55" s="63"/>
      <c r="D55" s="64"/>
      <c r="E55" s="84"/>
      <c r="F55" s="85">
        <f t="shared" si="0"/>
        <v>0</v>
      </c>
      <c r="G55" s="86"/>
    </row>
    <row r="56" spans="2:7" x14ac:dyDescent="0.3">
      <c r="B56" s="62"/>
      <c r="C56" s="63"/>
      <c r="D56" s="64"/>
      <c r="E56" s="84"/>
      <c r="F56" s="85">
        <f t="shared" si="0"/>
        <v>0</v>
      </c>
      <c r="G56" s="86"/>
    </row>
    <row r="57" spans="2:7" x14ac:dyDescent="0.3">
      <c r="B57" s="62"/>
      <c r="C57" s="63"/>
      <c r="D57" s="64"/>
      <c r="E57" s="84"/>
      <c r="F57" s="85">
        <f t="shared" si="0"/>
        <v>0</v>
      </c>
      <c r="G57" s="86"/>
    </row>
    <row r="58" spans="2:7" x14ac:dyDescent="0.3">
      <c r="B58" s="62"/>
      <c r="C58" s="63"/>
      <c r="D58" s="64"/>
      <c r="E58" s="84"/>
      <c r="F58" s="85">
        <f t="shared" si="0"/>
        <v>0</v>
      </c>
      <c r="G58" s="86"/>
    </row>
    <row r="59" spans="2:7" x14ac:dyDescent="0.3">
      <c r="B59" s="62"/>
      <c r="C59" s="63"/>
      <c r="D59" s="64"/>
      <c r="E59" s="84"/>
      <c r="F59" s="85">
        <f t="shared" si="0"/>
        <v>0</v>
      </c>
      <c r="G59" s="86"/>
    </row>
    <row r="60" spans="2:7" x14ac:dyDescent="0.3">
      <c r="B60" s="62"/>
      <c r="C60" s="63"/>
      <c r="D60" s="64"/>
      <c r="E60" s="84"/>
      <c r="F60" s="85">
        <f t="shared" si="0"/>
        <v>0</v>
      </c>
      <c r="G60" s="86"/>
    </row>
    <row r="61" spans="2:7" x14ac:dyDescent="0.3">
      <c r="B61" s="62"/>
      <c r="C61" s="63"/>
      <c r="D61" s="64"/>
      <c r="E61" s="84"/>
      <c r="F61" s="85">
        <f t="shared" si="0"/>
        <v>0</v>
      </c>
      <c r="G61" s="86"/>
    </row>
    <row r="62" spans="2:7" x14ac:dyDescent="0.3">
      <c r="B62" s="62"/>
      <c r="C62" s="63"/>
      <c r="D62" s="64"/>
      <c r="E62" s="84"/>
      <c r="F62" s="85">
        <f t="shared" si="0"/>
        <v>0</v>
      </c>
      <c r="G62" s="86"/>
    </row>
    <row r="63" spans="2:7" x14ac:dyDescent="0.3">
      <c r="B63" s="62"/>
      <c r="C63" s="63"/>
      <c r="D63" s="64"/>
      <c r="E63" s="84"/>
      <c r="F63" s="85">
        <f t="shared" si="0"/>
        <v>0</v>
      </c>
      <c r="G63" s="86"/>
    </row>
    <row r="64" spans="2:7" x14ac:dyDescent="0.3">
      <c r="B64" s="62"/>
      <c r="C64" s="63"/>
      <c r="D64" s="64"/>
      <c r="E64" s="84"/>
      <c r="F64" s="85">
        <f t="shared" si="0"/>
        <v>0</v>
      </c>
      <c r="G64" s="86"/>
    </row>
    <row r="65" spans="2:7" x14ac:dyDescent="0.3">
      <c r="B65" s="62"/>
      <c r="C65" s="63"/>
      <c r="D65" s="64"/>
      <c r="E65" s="84"/>
      <c r="F65" s="85">
        <f t="shared" si="0"/>
        <v>0</v>
      </c>
      <c r="G65" s="86"/>
    </row>
    <row r="66" spans="2:7" x14ac:dyDescent="0.3">
      <c r="B66" s="62"/>
      <c r="C66" s="63"/>
      <c r="D66" s="64"/>
      <c r="E66" s="84"/>
      <c r="F66" s="85">
        <f t="shared" si="0"/>
        <v>0</v>
      </c>
      <c r="G66" s="86"/>
    </row>
    <row r="67" spans="2:7" x14ac:dyDescent="0.3">
      <c r="B67" s="62"/>
      <c r="C67" s="63"/>
      <c r="D67" s="64"/>
      <c r="E67" s="84"/>
      <c r="F67" s="85">
        <f t="shared" si="0"/>
        <v>0</v>
      </c>
      <c r="G67" s="86"/>
    </row>
    <row r="68" spans="2:7" x14ac:dyDescent="0.3">
      <c r="B68" s="62"/>
      <c r="C68" s="63"/>
      <c r="D68" s="64"/>
      <c r="E68" s="84"/>
      <c r="F68" s="85">
        <f t="shared" si="0"/>
        <v>0</v>
      </c>
      <c r="G68" s="86"/>
    </row>
    <row r="69" spans="2:7" x14ac:dyDescent="0.3">
      <c r="B69" s="62"/>
      <c r="C69" s="63"/>
      <c r="D69" s="64"/>
      <c r="E69" s="84"/>
      <c r="F69" s="85">
        <f t="shared" si="0"/>
        <v>0</v>
      </c>
      <c r="G69" s="86"/>
    </row>
    <row r="70" spans="2:7" x14ac:dyDescent="0.3">
      <c r="B70" s="62"/>
      <c r="C70" s="63"/>
      <c r="D70" s="64"/>
      <c r="E70" s="84"/>
      <c r="F70" s="85">
        <f t="shared" si="0"/>
        <v>0</v>
      </c>
      <c r="G70" s="86"/>
    </row>
    <row r="71" spans="2:7" x14ac:dyDescent="0.3">
      <c r="B71" s="62"/>
      <c r="C71" s="63"/>
      <c r="D71" s="64"/>
      <c r="E71" s="84"/>
      <c r="F71" s="85">
        <f t="shared" si="0"/>
        <v>0</v>
      </c>
      <c r="G71" s="86"/>
    </row>
    <row r="72" spans="2:7" x14ac:dyDescent="0.3">
      <c r="B72" s="62"/>
      <c r="C72" s="63"/>
      <c r="D72" s="64"/>
      <c r="E72" s="84"/>
      <c r="F72" s="85">
        <f t="shared" si="0"/>
        <v>0</v>
      </c>
      <c r="G72" s="86"/>
    </row>
    <row r="73" spans="2:7" x14ac:dyDescent="0.3">
      <c r="B73" s="62"/>
      <c r="C73" s="63"/>
      <c r="D73" s="64"/>
      <c r="E73" s="84"/>
      <c r="F73" s="85">
        <f t="shared" si="0"/>
        <v>0</v>
      </c>
      <c r="G73" s="86"/>
    </row>
    <row r="74" spans="2:7" x14ac:dyDescent="0.3">
      <c r="B74" s="62"/>
      <c r="C74" s="63"/>
      <c r="D74" s="64"/>
      <c r="E74" s="84"/>
      <c r="F74" s="85">
        <f t="shared" si="0"/>
        <v>0</v>
      </c>
      <c r="G74" s="86"/>
    </row>
    <row r="75" spans="2:7" x14ac:dyDescent="0.3">
      <c r="B75" s="62"/>
      <c r="C75" s="63"/>
      <c r="D75" s="64"/>
      <c r="E75" s="84"/>
      <c r="F75" s="85">
        <f t="shared" si="0"/>
        <v>0</v>
      </c>
      <c r="G75" s="86"/>
    </row>
    <row r="76" spans="2:7" x14ac:dyDescent="0.3">
      <c r="B76" s="62"/>
      <c r="C76" s="63"/>
      <c r="D76" s="64"/>
      <c r="E76" s="84"/>
      <c r="F76" s="85">
        <f t="shared" si="0"/>
        <v>0</v>
      </c>
      <c r="G76" s="86"/>
    </row>
    <row r="77" spans="2:7" x14ac:dyDescent="0.3">
      <c r="B77" s="62"/>
      <c r="C77" s="63"/>
      <c r="D77" s="64"/>
      <c r="E77" s="84"/>
      <c r="F77" s="85">
        <f t="shared" si="0"/>
        <v>0</v>
      </c>
      <c r="G77" s="86"/>
    </row>
    <row r="78" spans="2:7" x14ac:dyDescent="0.3">
      <c r="B78" s="62"/>
      <c r="C78" s="63"/>
      <c r="D78" s="64"/>
      <c r="E78" s="84"/>
      <c r="F78" s="85">
        <f t="shared" si="0"/>
        <v>0</v>
      </c>
      <c r="G78" s="86"/>
    </row>
    <row r="79" spans="2:7" x14ac:dyDescent="0.3">
      <c r="B79" s="62"/>
      <c r="C79" s="63"/>
      <c r="D79" s="64"/>
      <c r="E79" s="84"/>
      <c r="F79" s="85">
        <f t="shared" ref="F79:F142" si="1">C79*E79</f>
        <v>0</v>
      </c>
      <c r="G79" s="86"/>
    </row>
    <row r="80" spans="2:7" x14ac:dyDescent="0.3">
      <c r="B80" s="62"/>
      <c r="C80" s="63"/>
      <c r="D80" s="64"/>
      <c r="E80" s="84"/>
      <c r="F80" s="85">
        <f t="shared" si="1"/>
        <v>0</v>
      </c>
      <c r="G80" s="86"/>
    </row>
    <row r="81" spans="2:7" x14ac:dyDescent="0.3">
      <c r="B81" s="62"/>
      <c r="C81" s="63"/>
      <c r="D81" s="64"/>
      <c r="E81" s="84"/>
      <c r="F81" s="85">
        <f t="shared" si="1"/>
        <v>0</v>
      </c>
      <c r="G81" s="86"/>
    </row>
    <row r="82" spans="2:7" x14ac:dyDescent="0.3">
      <c r="B82" s="62"/>
      <c r="C82" s="63"/>
      <c r="D82" s="64"/>
      <c r="E82" s="84"/>
      <c r="F82" s="85">
        <f t="shared" si="1"/>
        <v>0</v>
      </c>
      <c r="G82" s="86"/>
    </row>
    <row r="83" spans="2:7" x14ac:dyDescent="0.3">
      <c r="B83" s="62"/>
      <c r="C83" s="63"/>
      <c r="D83" s="64"/>
      <c r="E83" s="84"/>
      <c r="F83" s="85">
        <f t="shared" si="1"/>
        <v>0</v>
      </c>
      <c r="G83" s="86"/>
    </row>
    <row r="84" spans="2:7" x14ac:dyDescent="0.3">
      <c r="B84" s="62"/>
      <c r="C84" s="63"/>
      <c r="D84" s="64"/>
      <c r="E84" s="84"/>
      <c r="F84" s="85">
        <f t="shared" si="1"/>
        <v>0</v>
      </c>
      <c r="G84" s="86"/>
    </row>
    <row r="85" spans="2:7" x14ac:dyDescent="0.3">
      <c r="B85" s="62"/>
      <c r="C85" s="63"/>
      <c r="D85" s="64"/>
      <c r="E85" s="84"/>
      <c r="F85" s="85">
        <f t="shared" si="1"/>
        <v>0</v>
      </c>
      <c r="G85" s="86"/>
    </row>
    <row r="86" spans="2:7" x14ac:dyDescent="0.3">
      <c r="B86" s="62"/>
      <c r="C86" s="63"/>
      <c r="D86" s="64"/>
      <c r="E86" s="84"/>
      <c r="F86" s="85">
        <f t="shared" si="1"/>
        <v>0</v>
      </c>
      <c r="G86" s="86"/>
    </row>
    <row r="87" spans="2:7" x14ac:dyDescent="0.3">
      <c r="B87" s="62"/>
      <c r="C87" s="63"/>
      <c r="D87" s="64"/>
      <c r="E87" s="84"/>
      <c r="F87" s="85">
        <f t="shared" si="1"/>
        <v>0</v>
      </c>
      <c r="G87" s="86"/>
    </row>
    <row r="88" spans="2:7" x14ac:dyDescent="0.3">
      <c r="B88" s="62"/>
      <c r="C88" s="63"/>
      <c r="D88" s="64"/>
      <c r="E88" s="84"/>
      <c r="F88" s="85">
        <f t="shared" si="1"/>
        <v>0</v>
      </c>
      <c r="G88" s="86"/>
    </row>
    <row r="89" spans="2:7" x14ac:dyDescent="0.3">
      <c r="B89" s="62"/>
      <c r="C89" s="63"/>
      <c r="D89" s="64"/>
      <c r="E89" s="84"/>
      <c r="F89" s="85">
        <f t="shared" si="1"/>
        <v>0</v>
      </c>
      <c r="G89" s="86"/>
    </row>
    <row r="90" spans="2:7" x14ac:dyDescent="0.3">
      <c r="B90" s="62"/>
      <c r="C90" s="63"/>
      <c r="D90" s="64"/>
      <c r="E90" s="84"/>
      <c r="F90" s="85">
        <f t="shared" si="1"/>
        <v>0</v>
      </c>
      <c r="G90" s="86"/>
    </row>
    <row r="91" spans="2:7" x14ac:dyDescent="0.3">
      <c r="B91" s="62"/>
      <c r="C91" s="63"/>
      <c r="D91" s="64"/>
      <c r="E91" s="84"/>
      <c r="F91" s="85">
        <f t="shared" si="1"/>
        <v>0</v>
      </c>
      <c r="G91" s="86"/>
    </row>
    <row r="92" spans="2:7" x14ac:dyDescent="0.3">
      <c r="B92" s="62"/>
      <c r="C92" s="63"/>
      <c r="D92" s="64"/>
      <c r="E92" s="84"/>
      <c r="F92" s="85">
        <f t="shared" si="1"/>
        <v>0</v>
      </c>
      <c r="G92" s="86"/>
    </row>
    <row r="93" spans="2:7" x14ac:dyDescent="0.3">
      <c r="B93" s="62"/>
      <c r="C93" s="63"/>
      <c r="D93" s="64"/>
      <c r="E93" s="84"/>
      <c r="F93" s="85">
        <f t="shared" si="1"/>
        <v>0</v>
      </c>
      <c r="G93" s="86"/>
    </row>
    <row r="94" spans="2:7" x14ac:dyDescent="0.3">
      <c r="B94" s="62"/>
      <c r="C94" s="63"/>
      <c r="D94" s="64"/>
      <c r="E94" s="84"/>
      <c r="F94" s="85">
        <f t="shared" si="1"/>
        <v>0</v>
      </c>
      <c r="G94" s="86"/>
    </row>
    <row r="95" spans="2:7" x14ac:dyDescent="0.3">
      <c r="B95" s="62"/>
      <c r="C95" s="63"/>
      <c r="D95" s="64"/>
      <c r="E95" s="84"/>
      <c r="F95" s="85">
        <f t="shared" si="1"/>
        <v>0</v>
      </c>
      <c r="G95" s="86"/>
    </row>
    <row r="96" spans="2:7" x14ac:dyDescent="0.3">
      <c r="B96" s="62"/>
      <c r="C96" s="63"/>
      <c r="D96" s="64"/>
      <c r="E96" s="84"/>
      <c r="F96" s="85">
        <f t="shared" si="1"/>
        <v>0</v>
      </c>
      <c r="G96" s="86"/>
    </row>
    <row r="97" spans="2:7" x14ac:dyDescent="0.3">
      <c r="B97" s="62"/>
      <c r="C97" s="63"/>
      <c r="D97" s="64"/>
      <c r="E97" s="84"/>
      <c r="F97" s="85">
        <f t="shared" si="1"/>
        <v>0</v>
      </c>
      <c r="G97" s="86"/>
    </row>
    <row r="98" spans="2:7" x14ac:dyDescent="0.3">
      <c r="B98" s="62"/>
      <c r="C98" s="63"/>
      <c r="D98" s="64"/>
      <c r="E98" s="84"/>
      <c r="F98" s="85">
        <f t="shared" si="1"/>
        <v>0</v>
      </c>
      <c r="G98" s="86"/>
    </row>
    <row r="99" spans="2:7" x14ac:dyDescent="0.3">
      <c r="B99" s="62"/>
      <c r="C99" s="63"/>
      <c r="D99" s="64"/>
      <c r="E99" s="84"/>
      <c r="F99" s="85">
        <f t="shared" si="1"/>
        <v>0</v>
      </c>
      <c r="G99" s="86"/>
    </row>
    <row r="100" spans="2:7" x14ac:dyDescent="0.3">
      <c r="B100" s="62"/>
      <c r="C100" s="63"/>
      <c r="D100" s="64"/>
      <c r="E100" s="84"/>
      <c r="F100" s="85">
        <f t="shared" si="1"/>
        <v>0</v>
      </c>
      <c r="G100" s="86"/>
    </row>
    <row r="101" spans="2:7" x14ac:dyDescent="0.3">
      <c r="B101" s="62"/>
      <c r="C101" s="63"/>
      <c r="D101" s="64"/>
      <c r="E101" s="84"/>
      <c r="F101" s="85">
        <f t="shared" si="1"/>
        <v>0</v>
      </c>
      <c r="G101" s="86"/>
    </row>
    <row r="102" spans="2:7" x14ac:dyDescent="0.3">
      <c r="B102" s="62"/>
      <c r="C102" s="63"/>
      <c r="D102" s="64"/>
      <c r="E102" s="84"/>
      <c r="F102" s="85">
        <f t="shared" si="1"/>
        <v>0</v>
      </c>
      <c r="G102" s="86"/>
    </row>
    <row r="103" spans="2:7" x14ac:dyDescent="0.3">
      <c r="B103" s="62"/>
      <c r="C103" s="63"/>
      <c r="D103" s="64"/>
      <c r="E103" s="84"/>
      <c r="F103" s="85">
        <f t="shared" si="1"/>
        <v>0</v>
      </c>
      <c r="G103" s="86"/>
    </row>
    <row r="104" spans="2:7" x14ac:dyDescent="0.3">
      <c r="B104" s="62"/>
      <c r="C104" s="63"/>
      <c r="D104" s="64"/>
      <c r="E104" s="84"/>
      <c r="F104" s="85">
        <f t="shared" si="1"/>
        <v>0</v>
      </c>
      <c r="G104" s="86"/>
    </row>
    <row r="105" spans="2:7" x14ac:dyDescent="0.3">
      <c r="B105" s="62"/>
      <c r="C105" s="63"/>
      <c r="D105" s="64"/>
      <c r="E105" s="84"/>
      <c r="F105" s="85">
        <f t="shared" si="1"/>
        <v>0</v>
      </c>
      <c r="G105" s="86"/>
    </row>
    <row r="106" spans="2:7" x14ac:dyDescent="0.3">
      <c r="B106" s="62"/>
      <c r="C106" s="63"/>
      <c r="D106" s="64"/>
      <c r="E106" s="84"/>
      <c r="F106" s="85">
        <f t="shared" si="1"/>
        <v>0</v>
      </c>
      <c r="G106" s="86"/>
    </row>
    <row r="107" spans="2:7" x14ac:dyDescent="0.3">
      <c r="B107" s="62"/>
      <c r="C107" s="63"/>
      <c r="D107" s="64"/>
      <c r="E107" s="84"/>
      <c r="F107" s="85">
        <f t="shared" si="1"/>
        <v>0</v>
      </c>
      <c r="G107" s="86"/>
    </row>
    <row r="108" spans="2:7" x14ac:dyDescent="0.3">
      <c r="B108" s="62"/>
      <c r="C108" s="63"/>
      <c r="D108" s="64"/>
      <c r="E108" s="84"/>
      <c r="F108" s="85">
        <f t="shared" si="1"/>
        <v>0</v>
      </c>
      <c r="G108" s="86"/>
    </row>
    <row r="109" spans="2:7" x14ac:dyDescent="0.3">
      <c r="B109" s="62"/>
      <c r="C109" s="63"/>
      <c r="D109" s="64"/>
      <c r="E109" s="84"/>
      <c r="F109" s="85">
        <f t="shared" si="1"/>
        <v>0</v>
      </c>
      <c r="G109" s="86"/>
    </row>
    <row r="110" spans="2:7" x14ac:dyDescent="0.3">
      <c r="B110" s="62"/>
      <c r="C110" s="63"/>
      <c r="D110" s="64"/>
      <c r="E110" s="84"/>
      <c r="F110" s="85">
        <f t="shared" si="1"/>
        <v>0</v>
      </c>
      <c r="G110" s="86"/>
    </row>
    <row r="111" spans="2:7" x14ac:dyDescent="0.3">
      <c r="B111" s="62"/>
      <c r="C111" s="63"/>
      <c r="D111" s="64"/>
      <c r="E111" s="84"/>
      <c r="F111" s="85">
        <f t="shared" si="1"/>
        <v>0</v>
      </c>
      <c r="G111" s="86"/>
    </row>
    <row r="112" spans="2:7" x14ac:dyDescent="0.3">
      <c r="B112" s="62"/>
      <c r="C112" s="63"/>
      <c r="D112" s="64"/>
      <c r="E112" s="84"/>
      <c r="F112" s="85">
        <f t="shared" si="1"/>
        <v>0</v>
      </c>
      <c r="G112" s="86"/>
    </row>
    <row r="113" spans="2:7" x14ac:dyDescent="0.3">
      <c r="B113" s="62"/>
      <c r="C113" s="63"/>
      <c r="D113" s="64"/>
      <c r="E113" s="84"/>
      <c r="F113" s="85">
        <f t="shared" si="1"/>
        <v>0</v>
      </c>
      <c r="G113" s="86"/>
    </row>
    <row r="114" spans="2:7" x14ac:dyDescent="0.3">
      <c r="B114" s="62"/>
      <c r="C114" s="63"/>
      <c r="D114" s="64"/>
      <c r="E114" s="84"/>
      <c r="F114" s="85">
        <f t="shared" si="1"/>
        <v>0</v>
      </c>
      <c r="G114" s="86"/>
    </row>
    <row r="115" spans="2:7" x14ac:dyDescent="0.3">
      <c r="B115" s="62"/>
      <c r="C115" s="63"/>
      <c r="D115" s="64"/>
      <c r="E115" s="84"/>
      <c r="F115" s="85">
        <f t="shared" si="1"/>
        <v>0</v>
      </c>
      <c r="G115" s="86"/>
    </row>
    <row r="116" spans="2:7" x14ac:dyDescent="0.3">
      <c r="B116" s="62"/>
      <c r="C116" s="63"/>
      <c r="D116" s="64"/>
      <c r="E116" s="84"/>
      <c r="F116" s="85">
        <f t="shared" si="1"/>
        <v>0</v>
      </c>
      <c r="G116" s="86"/>
    </row>
    <row r="117" spans="2:7" x14ac:dyDescent="0.3">
      <c r="B117" s="62"/>
      <c r="C117" s="63"/>
      <c r="D117" s="64"/>
      <c r="E117" s="84"/>
      <c r="F117" s="85">
        <f t="shared" si="1"/>
        <v>0</v>
      </c>
      <c r="G117" s="86"/>
    </row>
    <row r="118" spans="2:7" x14ac:dyDescent="0.3">
      <c r="B118" s="62"/>
      <c r="C118" s="63"/>
      <c r="D118" s="64"/>
      <c r="E118" s="84"/>
      <c r="F118" s="85">
        <f t="shared" si="1"/>
        <v>0</v>
      </c>
      <c r="G118" s="86"/>
    </row>
    <row r="119" spans="2:7" x14ac:dyDescent="0.3">
      <c r="B119" s="62"/>
      <c r="C119" s="63"/>
      <c r="D119" s="64"/>
      <c r="E119" s="84"/>
      <c r="F119" s="85">
        <f t="shared" si="1"/>
        <v>0</v>
      </c>
      <c r="G119" s="86"/>
    </row>
    <row r="120" spans="2:7" x14ac:dyDescent="0.3">
      <c r="B120" s="62"/>
      <c r="C120" s="63"/>
      <c r="D120" s="64"/>
      <c r="E120" s="84"/>
      <c r="F120" s="85">
        <f t="shared" si="1"/>
        <v>0</v>
      </c>
      <c r="G120" s="86"/>
    </row>
    <row r="121" spans="2:7" x14ac:dyDescent="0.3">
      <c r="B121" s="62"/>
      <c r="C121" s="63"/>
      <c r="D121" s="64"/>
      <c r="E121" s="84"/>
      <c r="F121" s="85">
        <f t="shared" si="1"/>
        <v>0</v>
      </c>
      <c r="G121" s="86"/>
    </row>
    <row r="122" spans="2:7" x14ac:dyDescent="0.3">
      <c r="B122" s="62"/>
      <c r="C122" s="63"/>
      <c r="D122" s="64"/>
      <c r="E122" s="84"/>
      <c r="F122" s="85">
        <f t="shared" si="1"/>
        <v>0</v>
      </c>
      <c r="G122" s="86"/>
    </row>
    <row r="123" spans="2:7" x14ac:dyDescent="0.3">
      <c r="B123" s="62"/>
      <c r="C123" s="63"/>
      <c r="D123" s="64"/>
      <c r="E123" s="84"/>
      <c r="F123" s="85">
        <f t="shared" si="1"/>
        <v>0</v>
      </c>
      <c r="G123" s="86"/>
    </row>
    <row r="124" spans="2:7" x14ac:dyDescent="0.3">
      <c r="B124" s="62"/>
      <c r="C124" s="63"/>
      <c r="D124" s="64"/>
      <c r="E124" s="84"/>
      <c r="F124" s="85">
        <f t="shared" si="1"/>
        <v>0</v>
      </c>
      <c r="G124" s="86"/>
    </row>
    <row r="125" spans="2:7" x14ac:dyDescent="0.3">
      <c r="B125" s="62"/>
      <c r="C125" s="63"/>
      <c r="D125" s="64"/>
      <c r="E125" s="84"/>
      <c r="F125" s="85">
        <f t="shared" si="1"/>
        <v>0</v>
      </c>
      <c r="G125" s="86"/>
    </row>
    <row r="126" spans="2:7" x14ac:dyDescent="0.3">
      <c r="B126" s="62"/>
      <c r="C126" s="63"/>
      <c r="D126" s="64"/>
      <c r="E126" s="84"/>
      <c r="F126" s="85">
        <f t="shared" si="1"/>
        <v>0</v>
      </c>
      <c r="G126" s="86"/>
    </row>
    <row r="127" spans="2:7" x14ac:dyDescent="0.3">
      <c r="B127" s="62"/>
      <c r="C127" s="63"/>
      <c r="D127" s="64"/>
      <c r="E127" s="84"/>
      <c r="F127" s="85">
        <f t="shared" si="1"/>
        <v>0</v>
      </c>
      <c r="G127" s="86"/>
    </row>
    <row r="128" spans="2:7" x14ac:dyDescent="0.3">
      <c r="B128" s="62"/>
      <c r="C128" s="63"/>
      <c r="D128" s="64"/>
      <c r="E128" s="84"/>
      <c r="F128" s="85">
        <f t="shared" si="1"/>
        <v>0</v>
      </c>
      <c r="G128" s="86"/>
    </row>
    <row r="129" spans="2:7" x14ac:dyDescent="0.3">
      <c r="B129" s="62"/>
      <c r="C129" s="63"/>
      <c r="D129" s="64"/>
      <c r="E129" s="84"/>
      <c r="F129" s="85">
        <f t="shared" si="1"/>
        <v>0</v>
      </c>
      <c r="G129" s="86"/>
    </row>
    <row r="130" spans="2:7" x14ac:dyDescent="0.3">
      <c r="B130" s="62"/>
      <c r="C130" s="63"/>
      <c r="D130" s="64"/>
      <c r="E130" s="84"/>
      <c r="F130" s="85">
        <f t="shared" si="1"/>
        <v>0</v>
      </c>
      <c r="G130" s="86"/>
    </row>
    <row r="131" spans="2:7" x14ac:dyDescent="0.3">
      <c r="B131" s="62"/>
      <c r="C131" s="63"/>
      <c r="D131" s="64"/>
      <c r="E131" s="84"/>
      <c r="F131" s="85">
        <f t="shared" si="1"/>
        <v>0</v>
      </c>
      <c r="G131" s="86"/>
    </row>
    <row r="132" spans="2:7" x14ac:dyDescent="0.3">
      <c r="B132" s="62"/>
      <c r="C132" s="63"/>
      <c r="D132" s="64"/>
      <c r="E132" s="84"/>
      <c r="F132" s="85">
        <f t="shared" si="1"/>
        <v>0</v>
      </c>
      <c r="G132" s="86"/>
    </row>
    <row r="133" spans="2:7" x14ac:dyDescent="0.3">
      <c r="B133" s="62"/>
      <c r="C133" s="63"/>
      <c r="D133" s="64"/>
      <c r="E133" s="84"/>
      <c r="F133" s="85">
        <f t="shared" si="1"/>
        <v>0</v>
      </c>
      <c r="G133" s="86"/>
    </row>
    <row r="134" spans="2:7" x14ac:dyDescent="0.3">
      <c r="B134" s="62"/>
      <c r="C134" s="63"/>
      <c r="D134" s="64"/>
      <c r="E134" s="84"/>
      <c r="F134" s="85">
        <f t="shared" si="1"/>
        <v>0</v>
      </c>
      <c r="G134" s="86"/>
    </row>
    <row r="135" spans="2:7" x14ac:dyDescent="0.3">
      <c r="B135" s="62"/>
      <c r="C135" s="63"/>
      <c r="D135" s="64"/>
      <c r="E135" s="84"/>
      <c r="F135" s="85">
        <f t="shared" si="1"/>
        <v>0</v>
      </c>
      <c r="G135" s="86"/>
    </row>
    <row r="136" spans="2:7" x14ac:dyDescent="0.3">
      <c r="B136" s="62"/>
      <c r="C136" s="63"/>
      <c r="D136" s="64"/>
      <c r="E136" s="84"/>
      <c r="F136" s="85">
        <f t="shared" si="1"/>
        <v>0</v>
      </c>
      <c r="G136" s="86"/>
    </row>
    <row r="137" spans="2:7" x14ac:dyDescent="0.3">
      <c r="B137" s="62"/>
      <c r="C137" s="63"/>
      <c r="D137" s="64"/>
      <c r="E137" s="84"/>
      <c r="F137" s="85">
        <f t="shared" si="1"/>
        <v>0</v>
      </c>
      <c r="G137" s="86"/>
    </row>
    <row r="138" spans="2:7" x14ac:dyDescent="0.3">
      <c r="B138" s="62"/>
      <c r="C138" s="63"/>
      <c r="D138" s="64"/>
      <c r="E138" s="84"/>
      <c r="F138" s="85">
        <f t="shared" si="1"/>
        <v>0</v>
      </c>
      <c r="G138" s="86"/>
    </row>
    <row r="139" spans="2:7" x14ac:dyDescent="0.3">
      <c r="B139" s="62"/>
      <c r="C139" s="63"/>
      <c r="D139" s="64"/>
      <c r="E139" s="84"/>
      <c r="F139" s="85">
        <f t="shared" si="1"/>
        <v>0</v>
      </c>
      <c r="G139" s="86"/>
    </row>
    <row r="140" spans="2:7" x14ac:dyDescent="0.3">
      <c r="B140" s="62"/>
      <c r="C140" s="63"/>
      <c r="D140" s="64"/>
      <c r="E140" s="84"/>
      <c r="F140" s="85">
        <f t="shared" si="1"/>
        <v>0</v>
      </c>
      <c r="G140" s="86"/>
    </row>
    <row r="141" spans="2:7" x14ac:dyDescent="0.3">
      <c r="B141" s="62"/>
      <c r="C141" s="63"/>
      <c r="D141" s="64"/>
      <c r="E141" s="84"/>
      <c r="F141" s="85">
        <f t="shared" si="1"/>
        <v>0</v>
      </c>
      <c r="G141" s="86"/>
    </row>
    <row r="142" spans="2:7" x14ac:dyDescent="0.3">
      <c r="B142" s="62"/>
      <c r="C142" s="63"/>
      <c r="D142" s="64"/>
      <c r="E142" s="84"/>
      <c r="F142" s="85">
        <f t="shared" si="1"/>
        <v>0</v>
      </c>
      <c r="G142" s="86"/>
    </row>
    <row r="143" spans="2:7" x14ac:dyDescent="0.3">
      <c r="B143" s="62"/>
      <c r="C143" s="63"/>
      <c r="D143" s="64"/>
      <c r="E143" s="84"/>
      <c r="F143" s="85">
        <f t="shared" ref="F143:F199" si="2">C143*E143</f>
        <v>0</v>
      </c>
      <c r="G143" s="86"/>
    </row>
    <row r="144" spans="2:7" x14ac:dyDescent="0.3">
      <c r="B144" s="62"/>
      <c r="C144" s="63"/>
      <c r="D144" s="64"/>
      <c r="E144" s="84"/>
      <c r="F144" s="85">
        <f t="shared" si="2"/>
        <v>0</v>
      </c>
      <c r="G144" s="86"/>
    </row>
    <row r="145" spans="2:7" x14ac:dyDescent="0.3">
      <c r="B145" s="62"/>
      <c r="C145" s="63"/>
      <c r="D145" s="64"/>
      <c r="E145" s="84"/>
      <c r="F145" s="85">
        <f t="shared" si="2"/>
        <v>0</v>
      </c>
      <c r="G145" s="86"/>
    </row>
    <row r="146" spans="2:7" x14ac:dyDescent="0.3">
      <c r="B146" s="62"/>
      <c r="C146" s="63"/>
      <c r="D146" s="64"/>
      <c r="E146" s="84"/>
      <c r="F146" s="85">
        <f t="shared" si="2"/>
        <v>0</v>
      </c>
      <c r="G146" s="86"/>
    </row>
    <row r="147" spans="2:7" x14ac:dyDescent="0.3">
      <c r="B147" s="62"/>
      <c r="C147" s="63"/>
      <c r="D147" s="64"/>
      <c r="E147" s="84"/>
      <c r="F147" s="85">
        <f t="shared" si="2"/>
        <v>0</v>
      </c>
      <c r="G147" s="86"/>
    </row>
    <row r="148" spans="2:7" x14ac:dyDescent="0.3">
      <c r="B148" s="62"/>
      <c r="C148" s="63"/>
      <c r="D148" s="64"/>
      <c r="E148" s="84"/>
      <c r="F148" s="85">
        <f t="shared" si="2"/>
        <v>0</v>
      </c>
      <c r="G148" s="86"/>
    </row>
    <row r="149" spans="2:7" x14ac:dyDescent="0.3">
      <c r="B149" s="62"/>
      <c r="C149" s="63"/>
      <c r="D149" s="64"/>
      <c r="E149" s="84"/>
      <c r="F149" s="85">
        <f t="shared" si="2"/>
        <v>0</v>
      </c>
      <c r="G149" s="86"/>
    </row>
    <row r="150" spans="2:7" x14ac:dyDescent="0.3">
      <c r="B150" s="62"/>
      <c r="C150" s="63"/>
      <c r="D150" s="64"/>
      <c r="E150" s="84"/>
      <c r="F150" s="85">
        <f t="shared" si="2"/>
        <v>0</v>
      </c>
      <c r="G150" s="86"/>
    </row>
    <row r="151" spans="2:7" x14ac:dyDescent="0.3">
      <c r="B151" s="62"/>
      <c r="C151" s="63"/>
      <c r="D151" s="64"/>
      <c r="E151" s="84"/>
      <c r="F151" s="85">
        <f t="shared" si="2"/>
        <v>0</v>
      </c>
      <c r="G151" s="86"/>
    </row>
    <row r="152" spans="2:7" x14ac:dyDescent="0.3">
      <c r="B152" s="62"/>
      <c r="C152" s="63"/>
      <c r="D152" s="64"/>
      <c r="E152" s="84"/>
      <c r="F152" s="85">
        <f t="shared" si="2"/>
        <v>0</v>
      </c>
      <c r="G152" s="86"/>
    </row>
    <row r="153" spans="2:7" x14ac:dyDescent="0.3">
      <c r="B153" s="62"/>
      <c r="C153" s="63"/>
      <c r="D153" s="64"/>
      <c r="E153" s="84"/>
      <c r="F153" s="85">
        <f t="shared" si="2"/>
        <v>0</v>
      </c>
      <c r="G153" s="86"/>
    </row>
    <row r="154" spans="2:7" x14ac:dyDescent="0.3">
      <c r="B154" s="62"/>
      <c r="C154" s="63"/>
      <c r="D154" s="64"/>
      <c r="E154" s="84"/>
      <c r="F154" s="85">
        <f t="shared" si="2"/>
        <v>0</v>
      </c>
      <c r="G154" s="86"/>
    </row>
    <row r="155" spans="2:7" x14ac:dyDescent="0.3">
      <c r="B155" s="62"/>
      <c r="C155" s="63"/>
      <c r="D155" s="64"/>
      <c r="E155" s="84"/>
      <c r="F155" s="85">
        <f t="shared" si="2"/>
        <v>0</v>
      </c>
      <c r="G155" s="86"/>
    </row>
    <row r="156" spans="2:7" x14ac:dyDescent="0.3">
      <c r="B156" s="62"/>
      <c r="C156" s="63"/>
      <c r="D156" s="64"/>
      <c r="E156" s="84"/>
      <c r="F156" s="85">
        <f t="shared" si="2"/>
        <v>0</v>
      </c>
      <c r="G156" s="86"/>
    </row>
    <row r="157" spans="2:7" x14ac:dyDescent="0.3">
      <c r="B157" s="62"/>
      <c r="C157" s="63"/>
      <c r="D157" s="64"/>
      <c r="E157" s="84"/>
      <c r="F157" s="85">
        <f t="shared" si="2"/>
        <v>0</v>
      </c>
      <c r="G157" s="86"/>
    </row>
    <row r="158" spans="2:7" x14ac:dyDescent="0.3">
      <c r="B158" s="62"/>
      <c r="C158" s="63"/>
      <c r="D158" s="64"/>
      <c r="E158" s="84"/>
      <c r="F158" s="85">
        <f t="shared" si="2"/>
        <v>0</v>
      </c>
      <c r="G158" s="86"/>
    </row>
    <row r="159" spans="2:7" x14ac:dyDescent="0.3">
      <c r="B159" s="62"/>
      <c r="C159" s="63"/>
      <c r="D159" s="64"/>
      <c r="E159" s="84"/>
      <c r="F159" s="85">
        <f t="shared" si="2"/>
        <v>0</v>
      </c>
      <c r="G159" s="86"/>
    </row>
    <row r="160" spans="2:7" x14ac:dyDescent="0.3">
      <c r="B160" s="62"/>
      <c r="C160" s="63"/>
      <c r="D160" s="64"/>
      <c r="E160" s="84"/>
      <c r="F160" s="85">
        <f t="shared" si="2"/>
        <v>0</v>
      </c>
      <c r="G160" s="86"/>
    </row>
    <row r="161" spans="2:7" x14ac:dyDescent="0.3">
      <c r="B161" s="62"/>
      <c r="C161" s="63"/>
      <c r="D161" s="64"/>
      <c r="E161" s="84"/>
      <c r="F161" s="85">
        <f t="shared" si="2"/>
        <v>0</v>
      </c>
      <c r="G161" s="86"/>
    </row>
    <row r="162" spans="2:7" x14ac:dyDescent="0.3">
      <c r="B162" s="62"/>
      <c r="C162" s="63"/>
      <c r="D162" s="64"/>
      <c r="E162" s="84"/>
      <c r="F162" s="85">
        <f t="shared" si="2"/>
        <v>0</v>
      </c>
      <c r="G162" s="86"/>
    </row>
    <row r="163" spans="2:7" x14ac:dyDescent="0.3">
      <c r="B163" s="62"/>
      <c r="C163" s="63"/>
      <c r="D163" s="64"/>
      <c r="E163" s="84"/>
      <c r="F163" s="85">
        <f t="shared" si="2"/>
        <v>0</v>
      </c>
      <c r="G163" s="86"/>
    </row>
    <row r="164" spans="2:7" x14ac:dyDescent="0.3">
      <c r="B164" s="62"/>
      <c r="C164" s="63"/>
      <c r="D164" s="64"/>
      <c r="E164" s="84"/>
      <c r="F164" s="85">
        <f t="shared" si="2"/>
        <v>0</v>
      </c>
      <c r="G164" s="86"/>
    </row>
    <row r="165" spans="2:7" x14ac:dyDescent="0.3">
      <c r="B165" s="62"/>
      <c r="C165" s="63"/>
      <c r="D165" s="64"/>
      <c r="E165" s="84"/>
      <c r="F165" s="85">
        <f t="shared" si="2"/>
        <v>0</v>
      </c>
      <c r="G165" s="86"/>
    </row>
    <row r="166" spans="2:7" x14ac:dyDescent="0.3">
      <c r="B166" s="62"/>
      <c r="C166" s="63"/>
      <c r="D166" s="64"/>
      <c r="E166" s="84"/>
      <c r="F166" s="85">
        <f t="shared" si="2"/>
        <v>0</v>
      </c>
      <c r="G166" s="86"/>
    </row>
    <row r="167" spans="2:7" x14ac:dyDescent="0.3">
      <c r="B167" s="62"/>
      <c r="C167" s="63"/>
      <c r="D167" s="64"/>
      <c r="E167" s="84"/>
      <c r="F167" s="85">
        <f t="shared" si="2"/>
        <v>0</v>
      </c>
      <c r="G167" s="86"/>
    </row>
    <row r="168" spans="2:7" x14ac:dyDescent="0.3">
      <c r="B168" s="62"/>
      <c r="C168" s="63"/>
      <c r="D168" s="64"/>
      <c r="E168" s="84"/>
      <c r="F168" s="85">
        <f t="shared" si="2"/>
        <v>0</v>
      </c>
      <c r="G168" s="86"/>
    </row>
    <row r="169" spans="2:7" x14ac:dyDescent="0.3">
      <c r="B169" s="62"/>
      <c r="C169" s="63"/>
      <c r="D169" s="64"/>
      <c r="E169" s="84"/>
      <c r="F169" s="85">
        <f t="shared" si="2"/>
        <v>0</v>
      </c>
      <c r="G169" s="86"/>
    </row>
    <row r="170" spans="2:7" x14ac:dyDescent="0.3">
      <c r="B170" s="62"/>
      <c r="C170" s="63"/>
      <c r="D170" s="64"/>
      <c r="E170" s="84"/>
      <c r="F170" s="85">
        <f t="shared" si="2"/>
        <v>0</v>
      </c>
      <c r="G170" s="86"/>
    </row>
    <row r="171" spans="2:7" x14ac:dyDescent="0.3">
      <c r="B171" s="62"/>
      <c r="C171" s="63"/>
      <c r="D171" s="64"/>
      <c r="E171" s="84"/>
      <c r="F171" s="85">
        <f t="shared" si="2"/>
        <v>0</v>
      </c>
      <c r="G171" s="86"/>
    </row>
    <row r="172" spans="2:7" x14ac:dyDescent="0.3">
      <c r="B172" s="62"/>
      <c r="C172" s="63"/>
      <c r="D172" s="64"/>
      <c r="E172" s="84"/>
      <c r="F172" s="85">
        <f t="shared" si="2"/>
        <v>0</v>
      </c>
      <c r="G172" s="86"/>
    </row>
    <row r="173" spans="2:7" x14ac:dyDescent="0.3">
      <c r="B173" s="62"/>
      <c r="C173" s="63"/>
      <c r="D173" s="64"/>
      <c r="E173" s="84"/>
      <c r="F173" s="85">
        <f t="shared" si="2"/>
        <v>0</v>
      </c>
      <c r="G173" s="86"/>
    </row>
    <row r="174" spans="2:7" x14ac:dyDescent="0.3">
      <c r="B174" s="62"/>
      <c r="C174" s="63"/>
      <c r="D174" s="64"/>
      <c r="E174" s="84"/>
      <c r="F174" s="85">
        <f t="shared" si="2"/>
        <v>0</v>
      </c>
      <c r="G174" s="86"/>
    </row>
    <row r="175" spans="2:7" x14ac:dyDescent="0.3">
      <c r="B175" s="62"/>
      <c r="C175" s="63"/>
      <c r="D175" s="64"/>
      <c r="E175" s="84"/>
      <c r="F175" s="85">
        <f t="shared" si="2"/>
        <v>0</v>
      </c>
      <c r="G175" s="86"/>
    </row>
    <row r="176" spans="2:7" x14ac:dyDescent="0.3">
      <c r="B176" s="62"/>
      <c r="C176" s="63"/>
      <c r="D176" s="64"/>
      <c r="E176" s="84"/>
      <c r="F176" s="85">
        <f t="shared" si="2"/>
        <v>0</v>
      </c>
      <c r="G176" s="86"/>
    </row>
    <row r="177" spans="2:7" x14ac:dyDescent="0.3">
      <c r="B177" s="62"/>
      <c r="C177" s="63"/>
      <c r="D177" s="64"/>
      <c r="E177" s="84"/>
      <c r="F177" s="85">
        <f t="shared" si="2"/>
        <v>0</v>
      </c>
      <c r="G177" s="86"/>
    </row>
    <row r="178" spans="2:7" x14ac:dyDescent="0.3">
      <c r="B178" s="62"/>
      <c r="C178" s="63"/>
      <c r="D178" s="64"/>
      <c r="E178" s="84"/>
      <c r="F178" s="85">
        <f t="shared" si="2"/>
        <v>0</v>
      </c>
      <c r="G178" s="86"/>
    </row>
    <row r="179" spans="2:7" x14ac:dyDescent="0.3">
      <c r="B179" s="62"/>
      <c r="C179" s="63"/>
      <c r="D179" s="64"/>
      <c r="E179" s="84"/>
      <c r="F179" s="85">
        <f t="shared" si="2"/>
        <v>0</v>
      </c>
      <c r="G179" s="86"/>
    </row>
    <row r="180" spans="2:7" x14ac:dyDescent="0.3">
      <c r="B180" s="62"/>
      <c r="C180" s="63"/>
      <c r="D180" s="64"/>
      <c r="E180" s="84"/>
      <c r="F180" s="85">
        <f t="shared" si="2"/>
        <v>0</v>
      </c>
      <c r="G180" s="86"/>
    </row>
    <row r="181" spans="2:7" x14ac:dyDescent="0.3">
      <c r="B181" s="62"/>
      <c r="C181" s="63"/>
      <c r="D181" s="64"/>
      <c r="E181" s="84"/>
      <c r="F181" s="85">
        <f t="shared" si="2"/>
        <v>0</v>
      </c>
      <c r="G181" s="86"/>
    </row>
    <row r="182" spans="2:7" x14ac:dyDescent="0.3">
      <c r="B182" s="62"/>
      <c r="C182" s="63"/>
      <c r="D182" s="64"/>
      <c r="E182" s="84"/>
      <c r="F182" s="85">
        <f t="shared" si="2"/>
        <v>0</v>
      </c>
      <c r="G182" s="86"/>
    </row>
    <row r="183" spans="2:7" x14ac:dyDescent="0.3">
      <c r="B183" s="62"/>
      <c r="C183" s="63"/>
      <c r="D183" s="64"/>
      <c r="E183" s="84"/>
      <c r="F183" s="85">
        <f t="shared" si="2"/>
        <v>0</v>
      </c>
      <c r="G183" s="86"/>
    </row>
    <row r="184" spans="2:7" x14ac:dyDescent="0.3">
      <c r="B184" s="62"/>
      <c r="C184" s="63"/>
      <c r="D184" s="64"/>
      <c r="E184" s="84"/>
      <c r="F184" s="85">
        <f t="shared" si="2"/>
        <v>0</v>
      </c>
      <c r="G184" s="86"/>
    </row>
    <row r="185" spans="2:7" x14ac:dyDescent="0.3">
      <c r="B185" s="62"/>
      <c r="C185" s="63"/>
      <c r="D185" s="64"/>
      <c r="E185" s="84"/>
      <c r="F185" s="85">
        <f t="shared" si="2"/>
        <v>0</v>
      </c>
      <c r="G185" s="86"/>
    </row>
    <row r="186" spans="2:7" x14ac:dyDescent="0.3">
      <c r="B186" s="62"/>
      <c r="C186" s="63"/>
      <c r="D186" s="64"/>
      <c r="E186" s="84"/>
      <c r="F186" s="85">
        <f t="shared" si="2"/>
        <v>0</v>
      </c>
      <c r="G186" s="86"/>
    </row>
    <row r="187" spans="2:7" x14ac:dyDescent="0.3">
      <c r="B187" s="62"/>
      <c r="C187" s="63"/>
      <c r="D187" s="64"/>
      <c r="E187" s="84"/>
      <c r="F187" s="85">
        <f t="shared" si="2"/>
        <v>0</v>
      </c>
      <c r="G187" s="86"/>
    </row>
    <row r="188" spans="2:7" x14ac:dyDescent="0.3">
      <c r="B188" s="62"/>
      <c r="C188" s="63"/>
      <c r="D188" s="64"/>
      <c r="E188" s="84"/>
      <c r="F188" s="85">
        <f t="shared" si="2"/>
        <v>0</v>
      </c>
      <c r="G188" s="86"/>
    </row>
    <row r="189" spans="2:7" x14ac:dyDescent="0.3">
      <c r="B189" s="62"/>
      <c r="C189" s="63"/>
      <c r="D189" s="64"/>
      <c r="E189" s="84"/>
      <c r="F189" s="85">
        <f t="shared" si="2"/>
        <v>0</v>
      </c>
      <c r="G189" s="86"/>
    </row>
    <row r="190" spans="2:7" x14ac:dyDescent="0.3">
      <c r="B190" s="62"/>
      <c r="C190" s="63"/>
      <c r="D190" s="64"/>
      <c r="E190" s="84"/>
      <c r="F190" s="85">
        <f t="shared" si="2"/>
        <v>0</v>
      </c>
      <c r="G190" s="86"/>
    </row>
    <row r="191" spans="2:7" x14ac:dyDescent="0.3">
      <c r="B191" s="62"/>
      <c r="C191" s="63"/>
      <c r="D191" s="64"/>
      <c r="E191" s="84"/>
      <c r="F191" s="85">
        <f t="shared" si="2"/>
        <v>0</v>
      </c>
      <c r="G191" s="86"/>
    </row>
    <row r="192" spans="2:7" x14ac:dyDescent="0.3">
      <c r="B192" s="62"/>
      <c r="C192" s="63"/>
      <c r="D192" s="64"/>
      <c r="E192" s="84"/>
      <c r="F192" s="85">
        <f t="shared" si="2"/>
        <v>0</v>
      </c>
      <c r="G192" s="86"/>
    </row>
    <row r="193" spans="2:14" x14ac:dyDescent="0.3">
      <c r="B193" s="62"/>
      <c r="C193" s="63"/>
      <c r="D193" s="64"/>
      <c r="E193" s="84"/>
      <c r="F193" s="85">
        <f t="shared" si="2"/>
        <v>0</v>
      </c>
      <c r="G193" s="86"/>
    </row>
    <row r="194" spans="2:14" x14ac:dyDescent="0.3">
      <c r="B194" s="62"/>
      <c r="C194" s="63"/>
      <c r="D194" s="64"/>
      <c r="E194" s="84"/>
      <c r="F194" s="85">
        <f t="shared" si="2"/>
        <v>0</v>
      </c>
      <c r="G194" s="86"/>
    </row>
    <row r="195" spans="2:14" x14ac:dyDescent="0.3">
      <c r="B195" s="62"/>
      <c r="C195" s="63"/>
      <c r="D195" s="64"/>
      <c r="E195" s="84"/>
      <c r="F195" s="85">
        <f t="shared" si="2"/>
        <v>0</v>
      </c>
      <c r="G195" s="86"/>
    </row>
    <row r="196" spans="2:14" x14ac:dyDescent="0.3">
      <c r="B196" s="62"/>
      <c r="C196" s="63"/>
      <c r="D196" s="64"/>
      <c r="E196" s="84"/>
      <c r="F196" s="85">
        <f t="shared" si="2"/>
        <v>0</v>
      </c>
      <c r="G196" s="86"/>
    </row>
    <row r="197" spans="2:14" x14ac:dyDescent="0.3">
      <c r="B197" s="62"/>
      <c r="C197" s="63"/>
      <c r="D197" s="64"/>
      <c r="E197" s="84"/>
      <c r="F197" s="85">
        <f t="shared" si="2"/>
        <v>0</v>
      </c>
      <c r="G197" s="86"/>
    </row>
    <row r="198" spans="2:14" x14ac:dyDescent="0.3">
      <c r="B198" s="62"/>
      <c r="C198" s="62"/>
      <c r="D198" s="65"/>
      <c r="E198" s="86"/>
      <c r="F198" s="85">
        <f t="shared" si="2"/>
        <v>0</v>
      </c>
      <c r="G198" s="86"/>
    </row>
    <row r="199" spans="2:14" x14ac:dyDescent="0.3">
      <c r="B199" s="62"/>
      <c r="C199" s="62"/>
      <c r="D199" s="65"/>
      <c r="E199" s="86"/>
      <c r="F199" s="85">
        <f t="shared" si="2"/>
        <v>0</v>
      </c>
      <c r="G199" s="86"/>
    </row>
    <row r="201" spans="2:14" ht="15" thickBot="1" x14ac:dyDescent="0.35"/>
    <row r="202" spans="2:14" ht="15" thickBot="1" x14ac:dyDescent="0.35">
      <c r="B202" s="67">
        <f>SUM(B13:B201)</f>
        <v>0</v>
      </c>
      <c r="D202" s="13" t="s">
        <v>29</v>
      </c>
      <c r="E202" s="14"/>
      <c r="F202" s="15">
        <f>SUM(F13:F201)</f>
        <v>0</v>
      </c>
      <c r="I202" s="16"/>
      <c r="J202" s="16"/>
      <c r="K202" s="16"/>
      <c r="L202" s="16"/>
      <c r="M202" s="16"/>
      <c r="N202" s="16"/>
    </row>
    <row r="203" spans="2:14" ht="15" thickBot="1" x14ac:dyDescent="0.35">
      <c r="D203" s="13" t="s">
        <v>30</v>
      </c>
      <c r="E203" s="290"/>
      <c r="F203" s="291"/>
      <c r="G203" s="15">
        <f>SUM(G13:G201)</f>
        <v>0</v>
      </c>
      <c r="I203" s="16"/>
      <c r="J203" s="16"/>
      <c r="K203" s="16"/>
      <c r="L203" s="16"/>
      <c r="M203" s="16"/>
      <c r="N203" s="16"/>
    </row>
    <row r="204" spans="2:14" x14ac:dyDescent="0.3">
      <c r="G204" s="6"/>
      <c r="I204" s="16"/>
      <c r="J204" s="16"/>
      <c r="K204" s="16"/>
      <c r="L204" s="16"/>
      <c r="M204" s="16"/>
      <c r="N204" s="16"/>
    </row>
    <row r="205" spans="2:14" x14ac:dyDescent="0.3">
      <c r="D205" s="17" t="s">
        <v>25</v>
      </c>
      <c r="E205" s="18">
        <v>0.1</v>
      </c>
      <c r="F205" s="11">
        <f>F202*E205</f>
        <v>0</v>
      </c>
      <c r="H205" s="12" t="s">
        <v>31</v>
      </c>
      <c r="I205" s="16"/>
      <c r="J205" s="16"/>
      <c r="K205" s="16"/>
      <c r="L205" s="16"/>
      <c r="M205" s="16"/>
      <c r="N205" s="16"/>
    </row>
    <row r="206" spans="2:14" x14ac:dyDescent="0.3">
      <c r="D206" s="17" t="s">
        <v>7</v>
      </c>
      <c r="E206" s="19">
        <v>110</v>
      </c>
      <c r="F206" s="11">
        <f>B202*E206</f>
        <v>0</v>
      </c>
      <c r="H206" s="20">
        <f>B202</f>
        <v>0</v>
      </c>
      <c r="I206" s="16"/>
      <c r="J206" s="16"/>
      <c r="K206" s="16"/>
      <c r="L206" s="16"/>
      <c r="M206" s="16"/>
      <c r="N206" s="16"/>
    </row>
    <row r="207" spans="2:14" x14ac:dyDescent="0.3">
      <c r="D207" s="17" t="s">
        <v>8</v>
      </c>
      <c r="E207" s="21">
        <v>0.4</v>
      </c>
      <c r="F207" s="11">
        <f>F206*E207</f>
        <v>0</v>
      </c>
      <c r="H207" s="20">
        <f>F207/E206</f>
        <v>0</v>
      </c>
      <c r="I207" s="16"/>
      <c r="J207" s="16"/>
      <c r="K207" s="16"/>
      <c r="L207" s="16"/>
      <c r="M207" s="16"/>
      <c r="N207" s="16"/>
    </row>
    <row r="208" spans="2:14" x14ac:dyDescent="0.3">
      <c r="D208" s="17" t="s">
        <v>9</v>
      </c>
      <c r="E208" s="21">
        <v>0.2</v>
      </c>
      <c r="F208" s="11">
        <f>F206*E208</f>
        <v>0</v>
      </c>
      <c r="H208" s="20">
        <f>F208/E206</f>
        <v>0</v>
      </c>
      <c r="I208" s="16"/>
      <c r="J208" s="16"/>
      <c r="K208" s="16"/>
      <c r="L208" s="16"/>
      <c r="M208" s="16"/>
      <c r="N208" s="16"/>
    </row>
    <row r="209" spans="2:16" x14ac:dyDescent="0.3">
      <c r="D209" s="22" t="s">
        <v>14</v>
      </c>
      <c r="E209" s="23"/>
      <c r="F209" s="24">
        <f>F202+SUM(F205:F208)</f>
        <v>0</v>
      </c>
      <c r="I209" s="16"/>
      <c r="J209" s="16"/>
      <c r="K209" s="16"/>
      <c r="L209" s="16"/>
      <c r="M209" s="16"/>
      <c r="N209" s="16"/>
    </row>
    <row r="210" spans="2:16" x14ac:dyDescent="0.3">
      <c r="D210" s="17" t="s">
        <v>10</v>
      </c>
      <c r="E210" s="21">
        <v>0.4</v>
      </c>
      <c r="F210" s="1">
        <f>E210*F209</f>
        <v>0</v>
      </c>
      <c r="I210" s="16"/>
      <c r="J210" s="16"/>
      <c r="K210" s="16"/>
      <c r="L210" s="16"/>
      <c r="M210" s="16"/>
      <c r="N210" s="16"/>
    </row>
    <row r="211" spans="2:16" s="29" customFormat="1" ht="20.100000000000001" customHeight="1" x14ac:dyDescent="0.3">
      <c r="B211" s="16"/>
      <c r="C211" s="16"/>
      <c r="D211" s="25" t="s">
        <v>11</v>
      </c>
      <c r="E211" s="26"/>
      <c r="F211" s="27">
        <f>F209+F210</f>
        <v>0</v>
      </c>
      <c r="G211" s="28"/>
      <c r="I211" s="16"/>
      <c r="J211" s="16"/>
      <c r="K211" s="16"/>
      <c r="L211" s="16"/>
      <c r="M211" s="16"/>
      <c r="N211" s="16"/>
    </row>
    <row r="212" spans="2:16" x14ac:dyDescent="0.3">
      <c r="D212" s="5"/>
      <c r="E212" s="30"/>
      <c r="I212" s="16"/>
      <c r="J212" s="16"/>
      <c r="K212" s="16"/>
      <c r="L212" s="16"/>
      <c r="M212" s="16"/>
      <c r="N212" s="16"/>
    </row>
    <row r="213" spans="2:16" x14ac:dyDescent="0.3">
      <c r="D213" s="31" t="s">
        <v>20</v>
      </c>
      <c r="E213" s="32"/>
      <c r="F213" s="32">
        <v>0</v>
      </c>
      <c r="I213" s="16"/>
      <c r="J213" s="16"/>
      <c r="K213" s="16"/>
      <c r="L213" s="16"/>
      <c r="M213" s="16"/>
      <c r="N213" s="16"/>
    </row>
    <row r="214" spans="2:16" x14ac:dyDescent="0.3">
      <c r="D214" s="31" t="s">
        <v>22</v>
      </c>
      <c r="E214" s="32"/>
      <c r="F214" s="32">
        <v>0</v>
      </c>
      <c r="I214" s="16"/>
      <c r="J214" s="16"/>
      <c r="K214" s="16"/>
      <c r="L214" s="16"/>
      <c r="M214" s="16"/>
      <c r="N214" s="16"/>
    </row>
    <row r="215" spans="2:16" x14ac:dyDescent="0.3">
      <c r="D215" s="31" t="s">
        <v>22</v>
      </c>
      <c r="E215" s="32"/>
      <c r="F215" s="32">
        <v>0</v>
      </c>
      <c r="I215" s="16"/>
      <c r="J215" s="16"/>
      <c r="K215" s="16"/>
      <c r="L215" s="16"/>
      <c r="M215" s="16"/>
      <c r="N215" s="16"/>
    </row>
    <row r="216" spans="2:16" x14ac:dyDescent="0.3">
      <c r="D216" s="31" t="s">
        <v>21</v>
      </c>
      <c r="E216" s="33">
        <v>0.25</v>
      </c>
      <c r="F216" s="68">
        <f>(F213+F214+F215)*E216</f>
        <v>0</v>
      </c>
      <c r="I216" s="16"/>
      <c r="J216" s="16"/>
      <c r="K216" s="16"/>
      <c r="L216" s="16"/>
      <c r="M216" s="16"/>
      <c r="N216" s="16"/>
    </row>
    <row r="217" spans="2:16" x14ac:dyDescent="0.3">
      <c r="D217" s="34" t="s">
        <v>23</v>
      </c>
      <c r="E217" s="35"/>
      <c r="F217" s="36">
        <f>F213+F214+F215+F216</f>
        <v>0</v>
      </c>
      <c r="I217" s="16"/>
      <c r="J217" s="16"/>
      <c r="K217" s="16"/>
      <c r="L217" s="16"/>
      <c r="M217" s="16"/>
      <c r="N217" s="16"/>
    </row>
    <row r="218" spans="2:16" x14ac:dyDescent="0.3">
      <c r="E218" s="37"/>
      <c r="I218" s="16"/>
      <c r="J218" s="16"/>
      <c r="K218" s="16"/>
      <c r="L218" s="16"/>
      <c r="M218" s="16"/>
      <c r="N218" s="16"/>
    </row>
    <row r="219" spans="2:16" x14ac:dyDescent="0.3">
      <c r="D219" s="22" t="s">
        <v>12</v>
      </c>
      <c r="E219" s="38"/>
      <c r="F219" s="39">
        <f>I220</f>
        <v>0</v>
      </c>
      <c r="H219" s="40" t="s">
        <v>16</v>
      </c>
      <c r="I219" s="40" t="s">
        <v>18</v>
      </c>
      <c r="J219" s="16"/>
      <c r="K219" s="16"/>
      <c r="L219" s="16"/>
      <c r="M219" s="16"/>
      <c r="N219" s="16"/>
      <c r="O219" s="41" t="s">
        <v>26</v>
      </c>
      <c r="P219" s="41" t="s">
        <v>18</v>
      </c>
    </row>
    <row r="220" spans="2:16" x14ac:dyDescent="0.3">
      <c r="D220" s="17" t="s">
        <v>19</v>
      </c>
      <c r="E220" s="42">
        <v>0</v>
      </c>
      <c r="F220" s="11">
        <f>F219*E220</f>
        <v>0</v>
      </c>
      <c r="H220" s="61"/>
      <c r="I220" s="1"/>
      <c r="J220" s="16"/>
      <c r="K220" s="16"/>
      <c r="L220" s="16"/>
      <c r="M220" s="16"/>
      <c r="N220" s="16"/>
      <c r="O220" s="43" t="s">
        <v>27</v>
      </c>
      <c r="P220" s="44">
        <v>6.6250000000000003E-2</v>
      </c>
    </row>
    <row r="221" spans="2:16" x14ac:dyDescent="0.3">
      <c r="D221" s="17"/>
      <c r="E221" s="45"/>
      <c r="F221" s="11"/>
      <c r="H221" s="46"/>
      <c r="I221" s="46"/>
      <c r="J221" s="16"/>
      <c r="K221" s="16"/>
      <c r="L221" s="16"/>
      <c r="M221" s="16"/>
      <c r="N221" s="16"/>
      <c r="O221" s="47" t="s">
        <v>28</v>
      </c>
      <c r="P221" s="48">
        <v>8.8749999999999996E-2</v>
      </c>
    </row>
    <row r="222" spans="2:16" x14ac:dyDescent="0.3">
      <c r="D222" s="17" t="s">
        <v>13</v>
      </c>
      <c r="E222" s="42">
        <v>0.25</v>
      </c>
      <c r="F222" s="11">
        <f>E222*(F219+F220)</f>
        <v>0</v>
      </c>
      <c r="H222" s="1"/>
      <c r="I222" s="1"/>
      <c r="J222" s="16"/>
      <c r="K222" s="16"/>
      <c r="L222" s="16"/>
      <c r="M222" s="16"/>
      <c r="N222" s="16"/>
      <c r="O222" s="43" t="s">
        <v>32</v>
      </c>
      <c r="P222" s="44">
        <v>0</v>
      </c>
    </row>
    <row r="223" spans="2:16" s="29" customFormat="1" ht="20.100000000000001" customHeight="1" x14ac:dyDescent="0.3">
      <c r="B223" s="16"/>
      <c r="C223" s="16"/>
      <c r="D223" s="25" t="s">
        <v>15</v>
      </c>
      <c r="E223" s="49"/>
      <c r="F223" s="50">
        <f>F219+F220+F222</f>
        <v>0</v>
      </c>
      <c r="G223" s="28"/>
      <c r="H223" s="46"/>
      <c r="I223" s="46"/>
      <c r="J223"/>
      <c r="K223"/>
      <c r="L223"/>
      <c r="M223"/>
      <c r="N223"/>
    </row>
    <row r="224" spans="2:16" ht="15" thickBot="1" x14ac:dyDescent="0.35">
      <c r="D224" s="4"/>
      <c r="E224" s="51"/>
      <c r="H224" s="16"/>
      <c r="I224" s="16"/>
    </row>
    <row r="225" spans="1:14" ht="15" thickBot="1" x14ac:dyDescent="0.35">
      <c r="D225" s="7" t="s">
        <v>24</v>
      </c>
      <c r="E225" s="52">
        <f>_xlfn.XLOOKUP(G225, O220:O222, P220:P222, 0)</f>
        <v>8.8749999999999996E-2</v>
      </c>
      <c r="F225" s="53">
        <f>F202*E225</f>
        <v>0</v>
      </c>
      <c r="G225" s="54" t="s">
        <v>28</v>
      </c>
      <c r="I225" s="16"/>
      <c r="J225" s="16"/>
      <c r="K225" s="16"/>
      <c r="L225" s="16"/>
      <c r="M225" s="16"/>
      <c r="N225" s="16"/>
    </row>
    <row r="226" spans="1:14" x14ac:dyDescent="0.3">
      <c r="D226" s="7" t="s">
        <v>33</v>
      </c>
      <c r="E226" s="55">
        <v>0.05</v>
      </c>
      <c r="F226" s="8">
        <f>E226*(F211+F217+F223+F225)</f>
        <v>0</v>
      </c>
      <c r="I226" s="16"/>
      <c r="J226" s="16"/>
      <c r="K226" s="16"/>
      <c r="L226" s="16"/>
      <c r="M226" s="16"/>
      <c r="N226" s="16"/>
    </row>
    <row r="227" spans="1:14" ht="20.25" customHeight="1" x14ac:dyDescent="0.3">
      <c r="D227" s="56" t="s">
        <v>0</v>
      </c>
      <c r="E227" s="57"/>
      <c r="F227" s="57">
        <f>F211+F223+F225+F217+F226</f>
        <v>0</v>
      </c>
      <c r="I227" s="16"/>
      <c r="J227" s="16"/>
      <c r="K227" s="16"/>
      <c r="L227" s="16"/>
      <c r="M227" s="16"/>
      <c r="N227" s="16"/>
    </row>
    <row r="228" spans="1:14" x14ac:dyDescent="0.3">
      <c r="D228" s="58" t="s">
        <v>17</v>
      </c>
      <c r="E228" s="59" t="e">
        <f>F228/(F227-F225)</f>
        <v>#DIV/0!</v>
      </c>
      <c r="F228" s="60">
        <f>F227-F209-F219-F213-F214-F215-F225-F220</f>
        <v>0</v>
      </c>
      <c r="I228" s="16"/>
      <c r="J228" s="16"/>
      <c r="K228" s="16"/>
      <c r="L228" s="16"/>
      <c r="M228" s="16"/>
      <c r="N228" s="16"/>
    </row>
    <row r="229" spans="1:14" x14ac:dyDescent="0.3">
      <c r="A229" s="283" t="str">
        <f>HYPERLINK("#A1", "🔼 Go to Top")</f>
        <v>🔼 Go to Top</v>
      </c>
      <c r="B229" s="283"/>
    </row>
  </sheetData>
  <mergeCells count="12">
    <mergeCell ref="E2:H2"/>
    <mergeCell ref="B11:C11"/>
    <mergeCell ref="B2:D2"/>
    <mergeCell ref="A229:B229"/>
    <mergeCell ref="B3:C3"/>
    <mergeCell ref="B4:C4"/>
    <mergeCell ref="B5:C5"/>
    <mergeCell ref="B6:C6"/>
    <mergeCell ref="B7:C7"/>
    <mergeCell ref="B8:C8"/>
    <mergeCell ref="B9:C9"/>
    <mergeCell ref="E203:F203"/>
  </mergeCells>
  <dataValidations count="1">
    <dataValidation type="list" allowBlank="1" showInputMessage="1" showErrorMessage="1" sqref="G225" xr:uid="{A0A6465A-0A56-41CE-8EC2-5D2CC85A797A}">
      <formula1>O220:O222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3FCA-790D-4D80-91F0-E3BA1C2AB2B1}">
  <dimension ref="A1:P224"/>
  <sheetViews>
    <sheetView showGridLines="0" topLeftCell="A181" zoomScaleNormal="100" workbookViewId="0">
      <selection activeCell="G199" sqref="G199"/>
    </sheetView>
  </sheetViews>
  <sheetFormatPr defaultRowHeight="14.4" x14ac:dyDescent="0.3"/>
  <cols>
    <col min="1" max="1" width="3.6640625" customWidth="1"/>
    <col min="2" max="3" width="10.6640625" style="3" customWidth="1"/>
    <col min="4" max="4" width="75.6640625" customWidth="1"/>
    <col min="5" max="7" width="14.6640625" style="2" customWidth="1"/>
    <col min="8" max="8" width="14.33203125" customWidth="1"/>
    <col min="9" max="9" width="11.5546875" bestFit="1" customWidth="1"/>
    <col min="15" max="15" width="11.33203125" customWidth="1"/>
  </cols>
  <sheetData>
    <row r="1" spans="2:8" ht="7.5" customHeight="1" thickBot="1" x14ac:dyDescent="0.35"/>
    <row r="2" spans="2:8" ht="24" customHeight="1" thickBot="1" x14ac:dyDescent="0.35">
      <c r="B2" s="298" t="s">
        <v>43</v>
      </c>
      <c r="C2" s="299"/>
      <c r="D2" s="299"/>
      <c r="E2" s="276" t="s">
        <v>42</v>
      </c>
      <c r="F2" s="277"/>
      <c r="G2" s="277"/>
      <c r="H2" s="278"/>
    </row>
    <row r="3" spans="2:8" x14ac:dyDescent="0.3">
      <c r="B3" s="284" t="s">
        <v>36</v>
      </c>
      <c r="C3" s="285"/>
      <c r="D3" s="81"/>
      <c r="E3" s="82"/>
      <c r="F3" s="71"/>
      <c r="G3" s="71"/>
      <c r="H3" s="76"/>
    </row>
    <row r="4" spans="2:8" x14ac:dyDescent="0.3">
      <c r="B4" s="288" t="s">
        <v>44</v>
      </c>
      <c r="C4" s="287"/>
      <c r="D4" s="78"/>
      <c r="E4" s="82"/>
      <c r="F4" s="71"/>
      <c r="G4" s="71"/>
      <c r="H4" s="76"/>
    </row>
    <row r="5" spans="2:8" ht="15" thickBot="1" x14ac:dyDescent="0.35">
      <c r="B5" s="74"/>
      <c r="C5" s="80"/>
      <c r="D5" s="70"/>
      <c r="E5" s="82"/>
      <c r="F5" s="71"/>
      <c r="G5" s="71"/>
      <c r="H5" s="76"/>
    </row>
    <row r="6" spans="2:8" ht="15" thickBot="1" x14ac:dyDescent="0.35">
      <c r="B6" s="279" t="str" cm="1">
        <f t="array" ref="B6">HYPERLINK("#G" &amp; MAX(ROW(F1:F99984)*(F1:F99984&lt;&gt;"")), "Go to Pricing Info")</f>
        <v>Go to Pricing Info</v>
      </c>
      <c r="C6" s="280"/>
      <c r="D6" s="72"/>
      <c r="E6" s="83"/>
      <c r="F6" s="73"/>
      <c r="G6" s="73"/>
      <c r="H6" s="77"/>
    </row>
    <row r="8" spans="2:8" x14ac:dyDescent="0.3">
      <c r="B8" s="9" t="s">
        <v>1</v>
      </c>
      <c r="C8" s="9" t="s">
        <v>2</v>
      </c>
      <c r="D8" s="9" t="s">
        <v>3</v>
      </c>
      <c r="E8" s="10" t="s">
        <v>4</v>
      </c>
      <c r="F8" s="10" t="s">
        <v>5</v>
      </c>
      <c r="G8" s="10" t="s">
        <v>6</v>
      </c>
    </row>
    <row r="9" spans="2:8" x14ac:dyDescent="0.3">
      <c r="B9" s="62"/>
      <c r="C9" s="63"/>
      <c r="D9" s="64"/>
      <c r="E9" s="84"/>
      <c r="F9" s="85">
        <f>C9*E9</f>
        <v>0</v>
      </c>
      <c r="G9" s="86"/>
    </row>
    <row r="10" spans="2:8" x14ac:dyDescent="0.3">
      <c r="B10" s="62"/>
      <c r="C10" s="62"/>
      <c r="D10" s="65"/>
      <c r="E10" s="86"/>
      <c r="F10" s="85">
        <f t="shared" ref="F10:F73" si="0">C10*E10</f>
        <v>0</v>
      </c>
      <c r="G10" s="86"/>
    </row>
    <row r="11" spans="2:8" x14ac:dyDescent="0.3">
      <c r="B11" s="62"/>
      <c r="C11" s="63"/>
      <c r="D11" s="64"/>
      <c r="E11" s="84"/>
      <c r="F11" s="85">
        <f t="shared" si="0"/>
        <v>0</v>
      </c>
      <c r="G11" s="86"/>
    </row>
    <row r="12" spans="2:8" x14ac:dyDescent="0.3">
      <c r="B12" s="62"/>
      <c r="C12" s="62"/>
      <c r="D12" s="65"/>
      <c r="E12" s="86"/>
      <c r="F12" s="85">
        <f t="shared" si="0"/>
        <v>0</v>
      </c>
      <c r="G12" s="86"/>
    </row>
    <row r="13" spans="2:8" x14ac:dyDescent="0.3">
      <c r="B13" s="62"/>
      <c r="C13" s="63"/>
      <c r="D13" s="64"/>
      <c r="E13" s="84"/>
      <c r="F13" s="85">
        <f t="shared" si="0"/>
        <v>0</v>
      </c>
      <c r="G13" s="86"/>
    </row>
    <row r="14" spans="2:8" x14ac:dyDescent="0.3">
      <c r="B14" s="62"/>
      <c r="C14" s="62"/>
      <c r="D14" s="65"/>
      <c r="E14" s="86"/>
      <c r="F14" s="85">
        <f t="shared" si="0"/>
        <v>0</v>
      </c>
      <c r="G14" s="86"/>
    </row>
    <row r="15" spans="2:8" x14ac:dyDescent="0.3">
      <c r="B15" s="12"/>
      <c r="C15" s="63"/>
      <c r="D15" s="64"/>
      <c r="E15" s="84"/>
      <c r="F15" s="85">
        <f t="shared" si="0"/>
        <v>0</v>
      </c>
      <c r="G15" s="86"/>
    </row>
    <row r="16" spans="2:8" x14ac:dyDescent="0.3">
      <c r="B16" s="62"/>
      <c r="C16" s="62"/>
      <c r="D16" s="65"/>
      <c r="E16" s="86"/>
      <c r="F16" s="85">
        <f t="shared" si="0"/>
        <v>0</v>
      </c>
      <c r="G16" s="86"/>
    </row>
    <row r="17" spans="2:7" x14ac:dyDescent="0.3">
      <c r="B17" s="62"/>
      <c r="C17" s="63"/>
      <c r="D17" s="64"/>
      <c r="E17" s="84"/>
      <c r="F17" s="85">
        <f t="shared" si="0"/>
        <v>0</v>
      </c>
      <c r="G17" s="86"/>
    </row>
    <row r="18" spans="2:7" x14ac:dyDescent="0.3">
      <c r="B18" s="62"/>
      <c r="C18" s="62"/>
      <c r="D18" s="65"/>
      <c r="E18" s="86"/>
      <c r="F18" s="85">
        <f t="shared" si="0"/>
        <v>0</v>
      </c>
      <c r="G18" s="86"/>
    </row>
    <row r="19" spans="2:7" x14ac:dyDescent="0.3">
      <c r="B19" s="62"/>
      <c r="C19" s="63"/>
      <c r="D19" s="66"/>
      <c r="E19" s="84"/>
      <c r="F19" s="85">
        <f t="shared" si="0"/>
        <v>0</v>
      </c>
      <c r="G19" s="86"/>
    </row>
    <row r="20" spans="2:7" x14ac:dyDescent="0.3">
      <c r="B20" s="62"/>
      <c r="C20" s="62"/>
      <c r="D20" s="65"/>
      <c r="E20" s="86"/>
      <c r="F20" s="85">
        <f t="shared" si="0"/>
        <v>0</v>
      </c>
      <c r="G20" s="86"/>
    </row>
    <row r="21" spans="2:7" x14ac:dyDescent="0.3">
      <c r="B21" s="62"/>
      <c r="C21" s="63"/>
      <c r="D21" s="64"/>
      <c r="E21" s="84"/>
      <c r="F21" s="85">
        <f t="shared" si="0"/>
        <v>0</v>
      </c>
      <c r="G21" s="86"/>
    </row>
    <row r="22" spans="2:7" x14ac:dyDescent="0.3">
      <c r="B22" s="62"/>
      <c r="C22" s="62"/>
      <c r="D22" s="65"/>
      <c r="E22" s="86"/>
      <c r="F22" s="85">
        <f t="shared" si="0"/>
        <v>0</v>
      </c>
      <c r="G22" s="86"/>
    </row>
    <row r="23" spans="2:7" x14ac:dyDescent="0.3">
      <c r="B23" s="62"/>
      <c r="C23" s="63"/>
      <c r="D23" s="64"/>
      <c r="E23" s="84"/>
      <c r="F23" s="85">
        <f t="shared" si="0"/>
        <v>0</v>
      </c>
      <c r="G23" s="86"/>
    </row>
    <row r="24" spans="2:7" x14ac:dyDescent="0.3">
      <c r="B24" s="62"/>
      <c r="C24" s="62"/>
      <c r="D24" s="65"/>
      <c r="E24" s="86"/>
      <c r="F24" s="85">
        <f t="shared" si="0"/>
        <v>0</v>
      </c>
      <c r="G24" s="86"/>
    </row>
    <row r="25" spans="2:7" x14ac:dyDescent="0.3">
      <c r="B25" s="62"/>
      <c r="C25" s="63"/>
      <c r="D25" s="64"/>
      <c r="E25" s="84"/>
      <c r="F25" s="85">
        <f t="shared" si="0"/>
        <v>0</v>
      </c>
      <c r="G25" s="86"/>
    </row>
    <row r="26" spans="2:7" x14ac:dyDescent="0.3">
      <c r="B26" s="62"/>
      <c r="C26" s="62"/>
      <c r="D26" s="65"/>
      <c r="E26" s="86"/>
      <c r="F26" s="85">
        <f t="shared" si="0"/>
        <v>0</v>
      </c>
      <c r="G26" s="86"/>
    </row>
    <row r="27" spans="2:7" x14ac:dyDescent="0.3">
      <c r="B27" s="62"/>
      <c r="C27" s="63"/>
      <c r="D27" s="64"/>
      <c r="E27" s="84"/>
      <c r="F27" s="85">
        <f t="shared" si="0"/>
        <v>0</v>
      </c>
      <c r="G27" s="86"/>
    </row>
    <row r="28" spans="2:7" x14ac:dyDescent="0.3">
      <c r="B28" s="62"/>
      <c r="C28" s="62"/>
      <c r="D28" s="65"/>
      <c r="E28" s="86"/>
      <c r="F28" s="85">
        <f t="shared" si="0"/>
        <v>0</v>
      </c>
      <c r="G28" s="86"/>
    </row>
    <row r="29" spans="2:7" x14ac:dyDescent="0.3">
      <c r="B29" s="62"/>
      <c r="C29" s="63"/>
      <c r="D29" s="64"/>
      <c r="E29" s="84"/>
      <c r="F29" s="85">
        <f t="shared" si="0"/>
        <v>0</v>
      </c>
      <c r="G29" s="86"/>
    </row>
    <row r="30" spans="2:7" x14ac:dyDescent="0.3">
      <c r="B30" s="62"/>
      <c r="C30" s="62"/>
      <c r="D30" s="65"/>
      <c r="E30" s="86"/>
      <c r="F30" s="85">
        <f t="shared" si="0"/>
        <v>0</v>
      </c>
      <c r="G30" s="86"/>
    </row>
    <row r="31" spans="2:7" x14ac:dyDescent="0.3">
      <c r="B31" s="62"/>
      <c r="C31" s="63"/>
      <c r="D31" s="64"/>
      <c r="E31" s="84"/>
      <c r="F31" s="85">
        <f t="shared" si="0"/>
        <v>0</v>
      </c>
      <c r="G31" s="86"/>
    </row>
    <row r="32" spans="2:7" x14ac:dyDescent="0.3">
      <c r="B32" s="62"/>
      <c r="C32" s="62"/>
      <c r="D32" s="65"/>
      <c r="E32" s="86"/>
      <c r="F32" s="85">
        <f t="shared" si="0"/>
        <v>0</v>
      </c>
      <c r="G32" s="86"/>
    </row>
    <row r="33" spans="2:7" x14ac:dyDescent="0.3">
      <c r="B33" s="62"/>
      <c r="C33" s="63"/>
      <c r="D33" s="64"/>
      <c r="E33" s="84"/>
      <c r="F33" s="85">
        <f t="shared" si="0"/>
        <v>0</v>
      </c>
      <c r="G33" s="86"/>
    </row>
    <row r="34" spans="2:7" x14ac:dyDescent="0.3">
      <c r="B34" s="62"/>
      <c r="C34" s="62"/>
      <c r="D34" s="65"/>
      <c r="E34" s="86"/>
      <c r="F34" s="85">
        <f t="shared" si="0"/>
        <v>0</v>
      </c>
      <c r="G34" s="86"/>
    </row>
    <row r="35" spans="2:7" x14ac:dyDescent="0.3">
      <c r="B35" s="62"/>
      <c r="C35" s="63"/>
      <c r="D35" s="64"/>
      <c r="E35" s="84"/>
      <c r="F35" s="85">
        <f t="shared" si="0"/>
        <v>0</v>
      </c>
      <c r="G35" s="86"/>
    </row>
    <row r="36" spans="2:7" x14ac:dyDescent="0.3">
      <c r="B36" s="62"/>
      <c r="C36" s="62"/>
      <c r="D36" s="65"/>
      <c r="E36" s="86"/>
      <c r="F36" s="85">
        <f t="shared" si="0"/>
        <v>0</v>
      </c>
      <c r="G36" s="86"/>
    </row>
    <row r="37" spans="2:7" x14ac:dyDescent="0.3">
      <c r="B37" s="62"/>
      <c r="C37" s="63"/>
      <c r="D37" s="64"/>
      <c r="E37" s="84"/>
      <c r="F37" s="85">
        <f t="shared" si="0"/>
        <v>0</v>
      </c>
      <c r="G37" s="86"/>
    </row>
    <row r="38" spans="2:7" x14ac:dyDescent="0.3">
      <c r="B38" s="62"/>
      <c r="C38" s="63"/>
      <c r="D38" s="64"/>
      <c r="E38" s="84"/>
      <c r="F38" s="85">
        <f t="shared" si="0"/>
        <v>0</v>
      </c>
      <c r="G38" s="86"/>
    </row>
    <row r="39" spans="2:7" x14ac:dyDescent="0.3">
      <c r="B39" s="62"/>
      <c r="C39" s="63"/>
      <c r="D39" s="64"/>
      <c r="E39" s="84"/>
      <c r="F39" s="85">
        <f t="shared" si="0"/>
        <v>0</v>
      </c>
      <c r="G39" s="86"/>
    </row>
    <row r="40" spans="2:7" x14ac:dyDescent="0.3">
      <c r="B40" s="62"/>
      <c r="C40" s="63"/>
      <c r="D40" s="64"/>
      <c r="E40" s="84"/>
      <c r="F40" s="85">
        <f t="shared" si="0"/>
        <v>0</v>
      </c>
      <c r="G40" s="86"/>
    </row>
    <row r="41" spans="2:7" x14ac:dyDescent="0.3">
      <c r="B41" s="62"/>
      <c r="C41" s="63"/>
      <c r="D41" s="64"/>
      <c r="E41" s="84"/>
      <c r="F41" s="85">
        <f t="shared" si="0"/>
        <v>0</v>
      </c>
      <c r="G41" s="86"/>
    </row>
    <row r="42" spans="2:7" x14ac:dyDescent="0.3">
      <c r="B42" s="62"/>
      <c r="C42" s="63"/>
      <c r="D42" s="64"/>
      <c r="E42" s="84"/>
      <c r="F42" s="85">
        <f t="shared" si="0"/>
        <v>0</v>
      </c>
      <c r="G42" s="86"/>
    </row>
    <row r="43" spans="2:7" x14ac:dyDescent="0.3">
      <c r="B43" s="62"/>
      <c r="C43" s="63"/>
      <c r="D43" s="64"/>
      <c r="E43" s="84"/>
      <c r="F43" s="85">
        <f t="shared" si="0"/>
        <v>0</v>
      </c>
      <c r="G43" s="86"/>
    </row>
    <row r="44" spans="2:7" x14ac:dyDescent="0.3">
      <c r="B44" s="62"/>
      <c r="C44" s="63"/>
      <c r="D44" s="64"/>
      <c r="E44" s="84"/>
      <c r="F44" s="85">
        <f t="shared" si="0"/>
        <v>0</v>
      </c>
      <c r="G44" s="86"/>
    </row>
    <row r="45" spans="2:7" x14ac:dyDescent="0.3">
      <c r="B45" s="62"/>
      <c r="C45" s="63"/>
      <c r="D45" s="64"/>
      <c r="E45" s="84"/>
      <c r="F45" s="85">
        <f t="shared" si="0"/>
        <v>0</v>
      </c>
      <c r="G45" s="86"/>
    </row>
    <row r="46" spans="2:7" x14ac:dyDescent="0.3">
      <c r="B46" s="62"/>
      <c r="C46" s="63"/>
      <c r="D46" s="64"/>
      <c r="E46" s="84"/>
      <c r="F46" s="85">
        <f t="shared" si="0"/>
        <v>0</v>
      </c>
      <c r="G46" s="86"/>
    </row>
    <row r="47" spans="2:7" x14ac:dyDescent="0.3">
      <c r="B47" s="62"/>
      <c r="C47" s="63"/>
      <c r="D47" s="64"/>
      <c r="E47" s="84"/>
      <c r="F47" s="85">
        <f t="shared" si="0"/>
        <v>0</v>
      </c>
      <c r="G47" s="86"/>
    </row>
    <row r="48" spans="2:7" x14ac:dyDescent="0.3">
      <c r="B48" s="62"/>
      <c r="C48" s="63"/>
      <c r="D48" s="64"/>
      <c r="E48" s="84"/>
      <c r="F48" s="85">
        <f t="shared" si="0"/>
        <v>0</v>
      </c>
      <c r="G48" s="86"/>
    </row>
    <row r="49" spans="2:7" x14ac:dyDescent="0.3">
      <c r="B49" s="62"/>
      <c r="C49" s="63"/>
      <c r="D49" s="64"/>
      <c r="E49" s="84"/>
      <c r="F49" s="85">
        <f t="shared" si="0"/>
        <v>0</v>
      </c>
      <c r="G49" s="86"/>
    </row>
    <row r="50" spans="2:7" x14ac:dyDescent="0.3">
      <c r="B50" s="62"/>
      <c r="C50" s="63"/>
      <c r="D50" s="64"/>
      <c r="E50" s="84"/>
      <c r="F50" s="85">
        <f t="shared" si="0"/>
        <v>0</v>
      </c>
      <c r="G50" s="86"/>
    </row>
    <row r="51" spans="2:7" x14ac:dyDescent="0.3">
      <c r="B51" s="62"/>
      <c r="C51" s="63"/>
      <c r="D51" s="64"/>
      <c r="E51" s="84"/>
      <c r="F51" s="85">
        <f t="shared" si="0"/>
        <v>0</v>
      </c>
      <c r="G51" s="86"/>
    </row>
    <row r="52" spans="2:7" x14ac:dyDescent="0.3">
      <c r="B52" s="62"/>
      <c r="C52" s="63"/>
      <c r="D52" s="64"/>
      <c r="E52" s="84"/>
      <c r="F52" s="85">
        <f t="shared" si="0"/>
        <v>0</v>
      </c>
      <c r="G52" s="86"/>
    </row>
    <row r="53" spans="2:7" x14ac:dyDescent="0.3">
      <c r="B53" s="62"/>
      <c r="C53" s="63"/>
      <c r="D53" s="64"/>
      <c r="E53" s="84"/>
      <c r="F53" s="85">
        <f t="shared" si="0"/>
        <v>0</v>
      </c>
      <c r="G53" s="86"/>
    </row>
    <row r="54" spans="2:7" x14ac:dyDescent="0.3">
      <c r="B54" s="62"/>
      <c r="C54" s="63"/>
      <c r="D54" s="64"/>
      <c r="E54" s="84"/>
      <c r="F54" s="85">
        <f t="shared" si="0"/>
        <v>0</v>
      </c>
      <c r="G54" s="86"/>
    </row>
    <row r="55" spans="2:7" x14ac:dyDescent="0.3">
      <c r="B55" s="62"/>
      <c r="C55" s="63"/>
      <c r="D55" s="64"/>
      <c r="E55" s="84"/>
      <c r="F55" s="85">
        <f t="shared" si="0"/>
        <v>0</v>
      </c>
      <c r="G55" s="86"/>
    </row>
    <row r="56" spans="2:7" x14ac:dyDescent="0.3">
      <c r="B56" s="62"/>
      <c r="C56" s="63"/>
      <c r="D56" s="64"/>
      <c r="E56" s="84"/>
      <c r="F56" s="85">
        <f t="shared" si="0"/>
        <v>0</v>
      </c>
      <c r="G56" s="86"/>
    </row>
    <row r="57" spans="2:7" x14ac:dyDescent="0.3">
      <c r="B57" s="62"/>
      <c r="C57" s="63"/>
      <c r="D57" s="64"/>
      <c r="E57" s="84"/>
      <c r="F57" s="85">
        <f t="shared" si="0"/>
        <v>0</v>
      </c>
      <c r="G57" s="86"/>
    </row>
    <row r="58" spans="2:7" x14ac:dyDescent="0.3">
      <c r="B58" s="62"/>
      <c r="C58" s="63"/>
      <c r="D58" s="64"/>
      <c r="E58" s="84"/>
      <c r="F58" s="85">
        <f t="shared" si="0"/>
        <v>0</v>
      </c>
      <c r="G58" s="86"/>
    </row>
    <row r="59" spans="2:7" x14ac:dyDescent="0.3">
      <c r="B59" s="62"/>
      <c r="C59" s="63"/>
      <c r="D59" s="64"/>
      <c r="E59" s="84"/>
      <c r="F59" s="85">
        <f t="shared" si="0"/>
        <v>0</v>
      </c>
      <c r="G59" s="86"/>
    </row>
    <row r="60" spans="2:7" x14ac:dyDescent="0.3">
      <c r="B60" s="62"/>
      <c r="C60" s="63"/>
      <c r="D60" s="64"/>
      <c r="E60" s="84"/>
      <c r="F60" s="85">
        <f t="shared" si="0"/>
        <v>0</v>
      </c>
      <c r="G60" s="86"/>
    </row>
    <row r="61" spans="2:7" x14ac:dyDescent="0.3">
      <c r="B61" s="62"/>
      <c r="C61" s="63"/>
      <c r="D61" s="64"/>
      <c r="E61" s="84"/>
      <c r="F61" s="85">
        <f t="shared" si="0"/>
        <v>0</v>
      </c>
      <c r="G61" s="86"/>
    </row>
    <row r="62" spans="2:7" x14ac:dyDescent="0.3">
      <c r="B62" s="62"/>
      <c r="C62" s="63"/>
      <c r="D62" s="64"/>
      <c r="E62" s="84"/>
      <c r="F62" s="85">
        <f t="shared" si="0"/>
        <v>0</v>
      </c>
      <c r="G62" s="86"/>
    </row>
    <row r="63" spans="2:7" x14ac:dyDescent="0.3">
      <c r="B63" s="62"/>
      <c r="C63" s="63"/>
      <c r="D63" s="64"/>
      <c r="E63" s="84"/>
      <c r="F63" s="85">
        <f t="shared" si="0"/>
        <v>0</v>
      </c>
      <c r="G63" s="86"/>
    </row>
    <row r="64" spans="2:7" x14ac:dyDescent="0.3">
      <c r="B64" s="62"/>
      <c r="C64" s="63"/>
      <c r="D64" s="64"/>
      <c r="E64" s="84"/>
      <c r="F64" s="85">
        <f t="shared" si="0"/>
        <v>0</v>
      </c>
      <c r="G64" s="86"/>
    </row>
    <row r="65" spans="2:7" x14ac:dyDescent="0.3">
      <c r="B65" s="62"/>
      <c r="C65" s="63"/>
      <c r="D65" s="64"/>
      <c r="E65" s="84"/>
      <c r="F65" s="85">
        <f t="shared" si="0"/>
        <v>0</v>
      </c>
      <c r="G65" s="86"/>
    </row>
    <row r="66" spans="2:7" x14ac:dyDescent="0.3">
      <c r="B66" s="62"/>
      <c r="C66" s="63"/>
      <c r="D66" s="64"/>
      <c r="E66" s="84"/>
      <c r="F66" s="85">
        <f t="shared" si="0"/>
        <v>0</v>
      </c>
      <c r="G66" s="86"/>
    </row>
    <row r="67" spans="2:7" x14ac:dyDescent="0.3">
      <c r="B67" s="62"/>
      <c r="C67" s="63"/>
      <c r="D67" s="64"/>
      <c r="E67" s="84"/>
      <c r="F67" s="85">
        <f t="shared" si="0"/>
        <v>0</v>
      </c>
      <c r="G67" s="86"/>
    </row>
    <row r="68" spans="2:7" x14ac:dyDescent="0.3">
      <c r="B68" s="62"/>
      <c r="C68" s="63"/>
      <c r="D68" s="64"/>
      <c r="E68" s="84"/>
      <c r="F68" s="85">
        <f t="shared" si="0"/>
        <v>0</v>
      </c>
      <c r="G68" s="86"/>
    </row>
    <row r="69" spans="2:7" x14ac:dyDescent="0.3">
      <c r="B69" s="62"/>
      <c r="C69" s="63"/>
      <c r="D69" s="64"/>
      <c r="E69" s="84"/>
      <c r="F69" s="85">
        <f t="shared" si="0"/>
        <v>0</v>
      </c>
      <c r="G69" s="86"/>
    </row>
    <row r="70" spans="2:7" x14ac:dyDescent="0.3">
      <c r="B70" s="62"/>
      <c r="C70" s="63"/>
      <c r="D70" s="64"/>
      <c r="E70" s="84"/>
      <c r="F70" s="85">
        <f t="shared" si="0"/>
        <v>0</v>
      </c>
      <c r="G70" s="86"/>
    </row>
    <row r="71" spans="2:7" x14ac:dyDescent="0.3">
      <c r="B71" s="62"/>
      <c r="C71" s="63"/>
      <c r="D71" s="64"/>
      <c r="E71" s="84"/>
      <c r="F71" s="85">
        <f t="shared" si="0"/>
        <v>0</v>
      </c>
      <c r="G71" s="86"/>
    </row>
    <row r="72" spans="2:7" x14ac:dyDescent="0.3">
      <c r="B72" s="62"/>
      <c r="C72" s="63"/>
      <c r="D72" s="64"/>
      <c r="E72" s="84"/>
      <c r="F72" s="85">
        <f t="shared" si="0"/>
        <v>0</v>
      </c>
      <c r="G72" s="86"/>
    </row>
    <row r="73" spans="2:7" x14ac:dyDescent="0.3">
      <c r="B73" s="62"/>
      <c r="C73" s="63"/>
      <c r="D73" s="64"/>
      <c r="E73" s="84"/>
      <c r="F73" s="85">
        <f t="shared" si="0"/>
        <v>0</v>
      </c>
      <c r="G73" s="86"/>
    </row>
    <row r="74" spans="2:7" x14ac:dyDescent="0.3">
      <c r="B74" s="62"/>
      <c r="C74" s="63"/>
      <c r="D74" s="64"/>
      <c r="E74" s="84"/>
      <c r="F74" s="85">
        <f t="shared" ref="F74:F137" si="1">C74*E74</f>
        <v>0</v>
      </c>
      <c r="G74" s="86"/>
    </row>
    <row r="75" spans="2:7" x14ac:dyDescent="0.3">
      <c r="B75" s="62"/>
      <c r="C75" s="63"/>
      <c r="D75" s="64"/>
      <c r="E75" s="84"/>
      <c r="F75" s="85">
        <f t="shared" si="1"/>
        <v>0</v>
      </c>
      <c r="G75" s="86"/>
    </row>
    <row r="76" spans="2:7" x14ac:dyDescent="0.3">
      <c r="B76" s="62"/>
      <c r="C76" s="63"/>
      <c r="D76" s="64"/>
      <c r="E76" s="84"/>
      <c r="F76" s="85">
        <f t="shared" si="1"/>
        <v>0</v>
      </c>
      <c r="G76" s="86"/>
    </row>
    <row r="77" spans="2:7" x14ac:dyDescent="0.3">
      <c r="B77" s="62"/>
      <c r="C77" s="63"/>
      <c r="D77" s="64"/>
      <c r="E77" s="84"/>
      <c r="F77" s="85">
        <f t="shared" si="1"/>
        <v>0</v>
      </c>
      <c r="G77" s="86"/>
    </row>
    <row r="78" spans="2:7" x14ac:dyDescent="0.3">
      <c r="B78" s="62"/>
      <c r="C78" s="63"/>
      <c r="D78" s="64"/>
      <c r="E78" s="84"/>
      <c r="F78" s="85">
        <f t="shared" si="1"/>
        <v>0</v>
      </c>
      <c r="G78" s="86"/>
    </row>
    <row r="79" spans="2:7" x14ac:dyDescent="0.3">
      <c r="B79" s="62"/>
      <c r="C79" s="63"/>
      <c r="D79" s="64"/>
      <c r="E79" s="84"/>
      <c r="F79" s="85">
        <f t="shared" si="1"/>
        <v>0</v>
      </c>
      <c r="G79" s="86"/>
    </row>
    <row r="80" spans="2:7" x14ac:dyDescent="0.3">
      <c r="B80" s="62"/>
      <c r="C80" s="63"/>
      <c r="D80" s="64"/>
      <c r="E80" s="84"/>
      <c r="F80" s="85">
        <f t="shared" si="1"/>
        <v>0</v>
      </c>
      <c r="G80" s="86"/>
    </row>
    <row r="81" spans="2:7" x14ac:dyDescent="0.3">
      <c r="B81" s="62"/>
      <c r="C81" s="63"/>
      <c r="D81" s="64"/>
      <c r="E81" s="84"/>
      <c r="F81" s="85">
        <f t="shared" si="1"/>
        <v>0</v>
      </c>
      <c r="G81" s="86"/>
    </row>
    <row r="82" spans="2:7" x14ac:dyDescent="0.3">
      <c r="B82" s="62"/>
      <c r="C82" s="63"/>
      <c r="D82" s="64"/>
      <c r="E82" s="84"/>
      <c r="F82" s="85">
        <f t="shared" si="1"/>
        <v>0</v>
      </c>
      <c r="G82" s="86"/>
    </row>
    <row r="83" spans="2:7" x14ac:dyDescent="0.3">
      <c r="B83" s="62"/>
      <c r="C83" s="63"/>
      <c r="D83" s="64"/>
      <c r="E83" s="84"/>
      <c r="F83" s="85">
        <f t="shared" si="1"/>
        <v>0</v>
      </c>
      <c r="G83" s="86"/>
    </row>
    <row r="84" spans="2:7" x14ac:dyDescent="0.3">
      <c r="B84" s="62"/>
      <c r="C84" s="63"/>
      <c r="D84" s="64"/>
      <c r="E84" s="84"/>
      <c r="F84" s="85">
        <f t="shared" si="1"/>
        <v>0</v>
      </c>
      <c r="G84" s="86"/>
    </row>
    <row r="85" spans="2:7" x14ac:dyDescent="0.3">
      <c r="B85" s="62"/>
      <c r="C85" s="63"/>
      <c r="D85" s="64"/>
      <c r="E85" s="84"/>
      <c r="F85" s="85">
        <f t="shared" si="1"/>
        <v>0</v>
      </c>
      <c r="G85" s="86"/>
    </row>
    <row r="86" spans="2:7" x14ac:dyDescent="0.3">
      <c r="B86" s="62"/>
      <c r="C86" s="63"/>
      <c r="D86" s="64"/>
      <c r="E86" s="84"/>
      <c r="F86" s="85">
        <f t="shared" si="1"/>
        <v>0</v>
      </c>
      <c r="G86" s="86"/>
    </row>
    <row r="87" spans="2:7" x14ac:dyDescent="0.3">
      <c r="B87" s="62"/>
      <c r="C87" s="63"/>
      <c r="D87" s="64"/>
      <c r="E87" s="84"/>
      <c r="F87" s="85">
        <f t="shared" si="1"/>
        <v>0</v>
      </c>
      <c r="G87" s="86"/>
    </row>
    <row r="88" spans="2:7" x14ac:dyDescent="0.3">
      <c r="B88" s="62"/>
      <c r="C88" s="63"/>
      <c r="D88" s="64"/>
      <c r="E88" s="84"/>
      <c r="F88" s="85">
        <f t="shared" si="1"/>
        <v>0</v>
      </c>
      <c r="G88" s="86"/>
    </row>
    <row r="89" spans="2:7" x14ac:dyDescent="0.3">
      <c r="B89" s="62"/>
      <c r="C89" s="63"/>
      <c r="D89" s="64"/>
      <c r="E89" s="84"/>
      <c r="F89" s="85">
        <f t="shared" si="1"/>
        <v>0</v>
      </c>
      <c r="G89" s="86"/>
    </row>
    <row r="90" spans="2:7" x14ac:dyDescent="0.3">
      <c r="B90" s="62"/>
      <c r="C90" s="63"/>
      <c r="D90" s="64"/>
      <c r="E90" s="84"/>
      <c r="F90" s="85">
        <f t="shared" si="1"/>
        <v>0</v>
      </c>
      <c r="G90" s="86"/>
    </row>
    <row r="91" spans="2:7" x14ac:dyDescent="0.3">
      <c r="B91" s="62"/>
      <c r="C91" s="63"/>
      <c r="D91" s="64"/>
      <c r="E91" s="84"/>
      <c r="F91" s="85">
        <f t="shared" si="1"/>
        <v>0</v>
      </c>
      <c r="G91" s="86"/>
    </row>
    <row r="92" spans="2:7" x14ac:dyDescent="0.3">
      <c r="B92" s="62"/>
      <c r="C92" s="63"/>
      <c r="D92" s="64"/>
      <c r="E92" s="84"/>
      <c r="F92" s="85">
        <f t="shared" si="1"/>
        <v>0</v>
      </c>
      <c r="G92" s="86"/>
    </row>
    <row r="93" spans="2:7" x14ac:dyDescent="0.3">
      <c r="B93" s="62"/>
      <c r="C93" s="63"/>
      <c r="D93" s="64"/>
      <c r="E93" s="84"/>
      <c r="F93" s="85">
        <f t="shared" si="1"/>
        <v>0</v>
      </c>
      <c r="G93" s="86"/>
    </row>
    <row r="94" spans="2:7" x14ac:dyDescent="0.3">
      <c r="B94" s="62"/>
      <c r="C94" s="63"/>
      <c r="D94" s="64"/>
      <c r="E94" s="84"/>
      <c r="F94" s="85">
        <f t="shared" si="1"/>
        <v>0</v>
      </c>
      <c r="G94" s="86"/>
    </row>
    <row r="95" spans="2:7" x14ac:dyDescent="0.3">
      <c r="B95" s="62"/>
      <c r="C95" s="63"/>
      <c r="D95" s="64"/>
      <c r="E95" s="84"/>
      <c r="F95" s="85">
        <f t="shared" si="1"/>
        <v>0</v>
      </c>
      <c r="G95" s="86"/>
    </row>
    <row r="96" spans="2:7" x14ac:dyDescent="0.3">
      <c r="B96" s="62"/>
      <c r="C96" s="63"/>
      <c r="D96" s="64"/>
      <c r="E96" s="84"/>
      <c r="F96" s="85">
        <f t="shared" si="1"/>
        <v>0</v>
      </c>
      <c r="G96" s="86"/>
    </row>
    <row r="97" spans="2:7" x14ac:dyDescent="0.3">
      <c r="B97" s="62"/>
      <c r="C97" s="63"/>
      <c r="D97" s="64"/>
      <c r="E97" s="84"/>
      <c r="F97" s="85">
        <f t="shared" si="1"/>
        <v>0</v>
      </c>
      <c r="G97" s="86"/>
    </row>
    <row r="98" spans="2:7" x14ac:dyDescent="0.3">
      <c r="B98" s="62"/>
      <c r="C98" s="63"/>
      <c r="D98" s="64"/>
      <c r="E98" s="84"/>
      <c r="F98" s="85">
        <f t="shared" si="1"/>
        <v>0</v>
      </c>
      <c r="G98" s="86"/>
    </row>
    <row r="99" spans="2:7" x14ac:dyDescent="0.3">
      <c r="B99" s="62"/>
      <c r="C99" s="63"/>
      <c r="D99" s="64"/>
      <c r="E99" s="84"/>
      <c r="F99" s="85">
        <f t="shared" si="1"/>
        <v>0</v>
      </c>
      <c r="G99" s="86"/>
    </row>
    <row r="100" spans="2:7" x14ac:dyDescent="0.3">
      <c r="B100" s="62"/>
      <c r="C100" s="63"/>
      <c r="D100" s="64"/>
      <c r="E100" s="84"/>
      <c r="F100" s="85">
        <f t="shared" si="1"/>
        <v>0</v>
      </c>
      <c r="G100" s="86"/>
    </row>
    <row r="101" spans="2:7" x14ac:dyDescent="0.3">
      <c r="B101" s="62"/>
      <c r="C101" s="63"/>
      <c r="D101" s="64"/>
      <c r="E101" s="84"/>
      <c r="F101" s="85">
        <f t="shared" si="1"/>
        <v>0</v>
      </c>
      <c r="G101" s="86"/>
    </row>
    <row r="102" spans="2:7" x14ac:dyDescent="0.3">
      <c r="B102" s="62"/>
      <c r="C102" s="63"/>
      <c r="D102" s="64"/>
      <c r="E102" s="84"/>
      <c r="F102" s="85">
        <f t="shared" si="1"/>
        <v>0</v>
      </c>
      <c r="G102" s="86"/>
    </row>
    <row r="103" spans="2:7" x14ac:dyDescent="0.3">
      <c r="B103" s="62"/>
      <c r="C103" s="63"/>
      <c r="D103" s="64"/>
      <c r="E103" s="84"/>
      <c r="F103" s="85">
        <f t="shared" si="1"/>
        <v>0</v>
      </c>
      <c r="G103" s="86"/>
    </row>
    <row r="104" spans="2:7" x14ac:dyDescent="0.3">
      <c r="B104" s="62"/>
      <c r="C104" s="63"/>
      <c r="D104" s="64"/>
      <c r="E104" s="84"/>
      <c r="F104" s="85">
        <f t="shared" si="1"/>
        <v>0</v>
      </c>
      <c r="G104" s="86"/>
    </row>
    <row r="105" spans="2:7" x14ac:dyDescent="0.3">
      <c r="B105" s="62"/>
      <c r="C105" s="63"/>
      <c r="D105" s="64"/>
      <c r="E105" s="84"/>
      <c r="F105" s="85">
        <f t="shared" si="1"/>
        <v>0</v>
      </c>
      <c r="G105" s="86"/>
    </row>
    <row r="106" spans="2:7" x14ac:dyDescent="0.3">
      <c r="B106" s="62"/>
      <c r="C106" s="63"/>
      <c r="D106" s="64"/>
      <c r="E106" s="84"/>
      <c r="F106" s="85">
        <f t="shared" si="1"/>
        <v>0</v>
      </c>
      <c r="G106" s="86"/>
    </row>
    <row r="107" spans="2:7" x14ac:dyDescent="0.3">
      <c r="B107" s="62"/>
      <c r="C107" s="63"/>
      <c r="D107" s="64"/>
      <c r="E107" s="84"/>
      <c r="F107" s="85">
        <f t="shared" si="1"/>
        <v>0</v>
      </c>
      <c r="G107" s="86"/>
    </row>
    <row r="108" spans="2:7" x14ac:dyDescent="0.3">
      <c r="B108" s="62"/>
      <c r="C108" s="63"/>
      <c r="D108" s="64"/>
      <c r="E108" s="84"/>
      <c r="F108" s="85">
        <f t="shared" si="1"/>
        <v>0</v>
      </c>
      <c r="G108" s="86"/>
    </row>
    <row r="109" spans="2:7" x14ac:dyDescent="0.3">
      <c r="B109" s="62"/>
      <c r="C109" s="63"/>
      <c r="D109" s="64"/>
      <c r="E109" s="84"/>
      <c r="F109" s="85">
        <f t="shared" si="1"/>
        <v>0</v>
      </c>
      <c r="G109" s="86"/>
    </row>
    <row r="110" spans="2:7" x14ac:dyDescent="0.3">
      <c r="B110" s="62"/>
      <c r="C110" s="63"/>
      <c r="D110" s="64"/>
      <c r="E110" s="84"/>
      <c r="F110" s="85">
        <f t="shared" si="1"/>
        <v>0</v>
      </c>
      <c r="G110" s="86"/>
    </row>
    <row r="111" spans="2:7" x14ac:dyDescent="0.3">
      <c r="B111" s="62"/>
      <c r="C111" s="63"/>
      <c r="D111" s="64"/>
      <c r="E111" s="84"/>
      <c r="F111" s="85">
        <f t="shared" si="1"/>
        <v>0</v>
      </c>
      <c r="G111" s="86"/>
    </row>
    <row r="112" spans="2:7" x14ac:dyDescent="0.3">
      <c r="B112" s="62"/>
      <c r="C112" s="63"/>
      <c r="D112" s="64"/>
      <c r="E112" s="84"/>
      <c r="F112" s="85">
        <f t="shared" si="1"/>
        <v>0</v>
      </c>
      <c r="G112" s="86"/>
    </row>
    <row r="113" spans="2:7" x14ac:dyDescent="0.3">
      <c r="B113" s="62"/>
      <c r="C113" s="63"/>
      <c r="D113" s="64"/>
      <c r="E113" s="84"/>
      <c r="F113" s="85">
        <f t="shared" si="1"/>
        <v>0</v>
      </c>
      <c r="G113" s="86"/>
    </row>
    <row r="114" spans="2:7" x14ac:dyDescent="0.3">
      <c r="B114" s="62"/>
      <c r="C114" s="63"/>
      <c r="D114" s="64"/>
      <c r="E114" s="84"/>
      <c r="F114" s="85">
        <f t="shared" si="1"/>
        <v>0</v>
      </c>
      <c r="G114" s="86"/>
    </row>
    <row r="115" spans="2:7" x14ac:dyDescent="0.3">
      <c r="B115" s="62"/>
      <c r="C115" s="63"/>
      <c r="D115" s="64"/>
      <c r="E115" s="84"/>
      <c r="F115" s="85">
        <f t="shared" si="1"/>
        <v>0</v>
      </c>
      <c r="G115" s="86"/>
    </row>
    <row r="116" spans="2:7" x14ac:dyDescent="0.3">
      <c r="B116" s="62"/>
      <c r="C116" s="63"/>
      <c r="D116" s="64"/>
      <c r="E116" s="84"/>
      <c r="F116" s="85">
        <f t="shared" si="1"/>
        <v>0</v>
      </c>
      <c r="G116" s="86"/>
    </row>
    <row r="117" spans="2:7" x14ac:dyDescent="0.3">
      <c r="B117" s="62"/>
      <c r="C117" s="63"/>
      <c r="D117" s="64"/>
      <c r="E117" s="84"/>
      <c r="F117" s="85">
        <f t="shared" si="1"/>
        <v>0</v>
      </c>
      <c r="G117" s="86"/>
    </row>
    <row r="118" spans="2:7" x14ac:dyDescent="0.3">
      <c r="B118" s="62"/>
      <c r="C118" s="63"/>
      <c r="D118" s="64"/>
      <c r="E118" s="84"/>
      <c r="F118" s="85">
        <f t="shared" si="1"/>
        <v>0</v>
      </c>
      <c r="G118" s="86"/>
    </row>
    <row r="119" spans="2:7" x14ac:dyDescent="0.3">
      <c r="B119" s="62"/>
      <c r="C119" s="63"/>
      <c r="D119" s="64"/>
      <c r="E119" s="84"/>
      <c r="F119" s="85">
        <f t="shared" si="1"/>
        <v>0</v>
      </c>
      <c r="G119" s="86"/>
    </row>
    <row r="120" spans="2:7" x14ac:dyDescent="0.3">
      <c r="B120" s="62"/>
      <c r="C120" s="63"/>
      <c r="D120" s="64"/>
      <c r="E120" s="84"/>
      <c r="F120" s="85">
        <f t="shared" si="1"/>
        <v>0</v>
      </c>
      <c r="G120" s="86"/>
    </row>
    <row r="121" spans="2:7" x14ac:dyDescent="0.3">
      <c r="B121" s="62"/>
      <c r="C121" s="63"/>
      <c r="D121" s="64"/>
      <c r="E121" s="84"/>
      <c r="F121" s="85">
        <f t="shared" si="1"/>
        <v>0</v>
      </c>
      <c r="G121" s="86"/>
    </row>
    <row r="122" spans="2:7" x14ac:dyDescent="0.3">
      <c r="B122" s="62"/>
      <c r="C122" s="63"/>
      <c r="D122" s="64"/>
      <c r="E122" s="84"/>
      <c r="F122" s="85">
        <f t="shared" si="1"/>
        <v>0</v>
      </c>
      <c r="G122" s="86"/>
    </row>
    <row r="123" spans="2:7" x14ac:dyDescent="0.3">
      <c r="B123" s="62"/>
      <c r="C123" s="63"/>
      <c r="D123" s="64"/>
      <c r="E123" s="84"/>
      <c r="F123" s="85">
        <f t="shared" si="1"/>
        <v>0</v>
      </c>
      <c r="G123" s="86"/>
    </row>
    <row r="124" spans="2:7" x14ac:dyDescent="0.3">
      <c r="B124" s="62"/>
      <c r="C124" s="63"/>
      <c r="D124" s="64"/>
      <c r="E124" s="84"/>
      <c r="F124" s="85">
        <f t="shared" si="1"/>
        <v>0</v>
      </c>
      <c r="G124" s="86"/>
    </row>
    <row r="125" spans="2:7" x14ac:dyDescent="0.3">
      <c r="B125" s="62"/>
      <c r="C125" s="63"/>
      <c r="D125" s="64"/>
      <c r="E125" s="84"/>
      <c r="F125" s="85">
        <f t="shared" si="1"/>
        <v>0</v>
      </c>
      <c r="G125" s="86"/>
    </row>
    <row r="126" spans="2:7" x14ac:dyDescent="0.3">
      <c r="B126" s="62"/>
      <c r="C126" s="63"/>
      <c r="D126" s="64"/>
      <c r="E126" s="84"/>
      <c r="F126" s="85">
        <f t="shared" si="1"/>
        <v>0</v>
      </c>
      <c r="G126" s="86"/>
    </row>
    <row r="127" spans="2:7" x14ac:dyDescent="0.3">
      <c r="B127" s="62"/>
      <c r="C127" s="63"/>
      <c r="D127" s="64"/>
      <c r="E127" s="84"/>
      <c r="F127" s="85">
        <f t="shared" si="1"/>
        <v>0</v>
      </c>
      <c r="G127" s="86"/>
    </row>
    <row r="128" spans="2:7" x14ac:dyDescent="0.3">
      <c r="B128" s="62"/>
      <c r="C128" s="63"/>
      <c r="D128" s="64"/>
      <c r="E128" s="84"/>
      <c r="F128" s="85">
        <f t="shared" si="1"/>
        <v>0</v>
      </c>
      <c r="G128" s="86"/>
    </row>
    <row r="129" spans="2:7" x14ac:dyDescent="0.3">
      <c r="B129" s="62"/>
      <c r="C129" s="63"/>
      <c r="D129" s="64"/>
      <c r="E129" s="84"/>
      <c r="F129" s="85">
        <f t="shared" si="1"/>
        <v>0</v>
      </c>
      <c r="G129" s="86"/>
    </row>
    <row r="130" spans="2:7" x14ac:dyDescent="0.3">
      <c r="B130" s="62"/>
      <c r="C130" s="63"/>
      <c r="D130" s="64"/>
      <c r="E130" s="84"/>
      <c r="F130" s="85">
        <f t="shared" si="1"/>
        <v>0</v>
      </c>
      <c r="G130" s="86"/>
    </row>
    <row r="131" spans="2:7" x14ac:dyDescent="0.3">
      <c r="B131" s="62"/>
      <c r="C131" s="63"/>
      <c r="D131" s="64"/>
      <c r="E131" s="84"/>
      <c r="F131" s="85">
        <f t="shared" si="1"/>
        <v>0</v>
      </c>
      <c r="G131" s="86"/>
    </row>
    <row r="132" spans="2:7" x14ac:dyDescent="0.3">
      <c r="B132" s="62"/>
      <c r="C132" s="63"/>
      <c r="D132" s="64"/>
      <c r="E132" s="84"/>
      <c r="F132" s="85">
        <f t="shared" si="1"/>
        <v>0</v>
      </c>
      <c r="G132" s="86"/>
    </row>
    <row r="133" spans="2:7" x14ac:dyDescent="0.3">
      <c r="B133" s="62"/>
      <c r="C133" s="63"/>
      <c r="D133" s="64"/>
      <c r="E133" s="84"/>
      <c r="F133" s="85">
        <f t="shared" si="1"/>
        <v>0</v>
      </c>
      <c r="G133" s="86"/>
    </row>
    <row r="134" spans="2:7" x14ac:dyDescent="0.3">
      <c r="B134" s="62"/>
      <c r="C134" s="63"/>
      <c r="D134" s="64"/>
      <c r="E134" s="84"/>
      <c r="F134" s="85">
        <f t="shared" si="1"/>
        <v>0</v>
      </c>
      <c r="G134" s="86"/>
    </row>
    <row r="135" spans="2:7" x14ac:dyDescent="0.3">
      <c r="B135" s="62"/>
      <c r="C135" s="63"/>
      <c r="D135" s="64"/>
      <c r="E135" s="84"/>
      <c r="F135" s="85">
        <f t="shared" si="1"/>
        <v>0</v>
      </c>
      <c r="G135" s="86"/>
    </row>
    <row r="136" spans="2:7" x14ac:dyDescent="0.3">
      <c r="B136" s="62"/>
      <c r="C136" s="63"/>
      <c r="D136" s="64"/>
      <c r="E136" s="84"/>
      <c r="F136" s="85">
        <f t="shared" si="1"/>
        <v>0</v>
      </c>
      <c r="G136" s="86"/>
    </row>
    <row r="137" spans="2:7" x14ac:dyDescent="0.3">
      <c r="B137" s="62"/>
      <c r="C137" s="63"/>
      <c r="D137" s="64"/>
      <c r="E137" s="84"/>
      <c r="F137" s="85">
        <f t="shared" si="1"/>
        <v>0</v>
      </c>
      <c r="G137" s="86"/>
    </row>
    <row r="138" spans="2:7" x14ac:dyDescent="0.3">
      <c r="B138" s="62"/>
      <c r="C138" s="63"/>
      <c r="D138" s="64"/>
      <c r="E138" s="84"/>
      <c r="F138" s="85">
        <f t="shared" ref="F138:F194" si="2">C138*E138</f>
        <v>0</v>
      </c>
      <c r="G138" s="86"/>
    </row>
    <row r="139" spans="2:7" x14ac:dyDescent="0.3">
      <c r="B139" s="62"/>
      <c r="C139" s="63"/>
      <c r="D139" s="64"/>
      <c r="E139" s="84"/>
      <c r="F139" s="85">
        <f t="shared" si="2"/>
        <v>0</v>
      </c>
      <c r="G139" s="86"/>
    </row>
    <row r="140" spans="2:7" x14ac:dyDescent="0.3">
      <c r="B140" s="62"/>
      <c r="C140" s="63"/>
      <c r="D140" s="64"/>
      <c r="E140" s="84"/>
      <c r="F140" s="85">
        <f t="shared" si="2"/>
        <v>0</v>
      </c>
      <c r="G140" s="86"/>
    </row>
    <row r="141" spans="2:7" x14ac:dyDescent="0.3">
      <c r="B141" s="62"/>
      <c r="C141" s="63"/>
      <c r="D141" s="64"/>
      <c r="E141" s="84"/>
      <c r="F141" s="85">
        <f t="shared" si="2"/>
        <v>0</v>
      </c>
      <c r="G141" s="86"/>
    </row>
    <row r="142" spans="2:7" x14ac:dyDescent="0.3">
      <c r="B142" s="62"/>
      <c r="C142" s="63"/>
      <c r="D142" s="64"/>
      <c r="E142" s="84"/>
      <c r="F142" s="85">
        <f t="shared" si="2"/>
        <v>0</v>
      </c>
      <c r="G142" s="86"/>
    </row>
    <row r="143" spans="2:7" x14ac:dyDescent="0.3">
      <c r="B143" s="62"/>
      <c r="C143" s="63"/>
      <c r="D143" s="64"/>
      <c r="E143" s="84"/>
      <c r="F143" s="85">
        <f t="shared" si="2"/>
        <v>0</v>
      </c>
      <c r="G143" s="86"/>
    </row>
    <row r="144" spans="2:7" x14ac:dyDescent="0.3">
      <c r="B144" s="62"/>
      <c r="C144" s="63"/>
      <c r="D144" s="64"/>
      <c r="E144" s="84"/>
      <c r="F144" s="85">
        <f t="shared" si="2"/>
        <v>0</v>
      </c>
      <c r="G144" s="86"/>
    </row>
    <row r="145" spans="2:7" x14ac:dyDescent="0.3">
      <c r="B145" s="62"/>
      <c r="C145" s="63"/>
      <c r="D145" s="64"/>
      <c r="E145" s="84"/>
      <c r="F145" s="85">
        <f t="shared" si="2"/>
        <v>0</v>
      </c>
      <c r="G145" s="86"/>
    </row>
    <row r="146" spans="2:7" x14ac:dyDescent="0.3">
      <c r="B146" s="62"/>
      <c r="C146" s="63"/>
      <c r="D146" s="64"/>
      <c r="E146" s="84"/>
      <c r="F146" s="85">
        <f t="shared" si="2"/>
        <v>0</v>
      </c>
      <c r="G146" s="86"/>
    </row>
    <row r="147" spans="2:7" x14ac:dyDescent="0.3">
      <c r="B147" s="62"/>
      <c r="C147" s="63"/>
      <c r="D147" s="64"/>
      <c r="E147" s="84"/>
      <c r="F147" s="85">
        <f t="shared" si="2"/>
        <v>0</v>
      </c>
      <c r="G147" s="86"/>
    </row>
    <row r="148" spans="2:7" x14ac:dyDescent="0.3">
      <c r="B148" s="62"/>
      <c r="C148" s="63"/>
      <c r="D148" s="64"/>
      <c r="E148" s="84"/>
      <c r="F148" s="85">
        <f t="shared" si="2"/>
        <v>0</v>
      </c>
      <c r="G148" s="86"/>
    </row>
    <row r="149" spans="2:7" x14ac:dyDescent="0.3">
      <c r="B149" s="62"/>
      <c r="C149" s="63"/>
      <c r="D149" s="64"/>
      <c r="E149" s="84"/>
      <c r="F149" s="85">
        <f t="shared" si="2"/>
        <v>0</v>
      </c>
      <c r="G149" s="86"/>
    </row>
    <row r="150" spans="2:7" x14ac:dyDescent="0.3">
      <c r="B150" s="62"/>
      <c r="C150" s="63"/>
      <c r="D150" s="64"/>
      <c r="E150" s="84"/>
      <c r="F150" s="85">
        <f t="shared" si="2"/>
        <v>0</v>
      </c>
      <c r="G150" s="86"/>
    </row>
    <row r="151" spans="2:7" x14ac:dyDescent="0.3">
      <c r="B151" s="62"/>
      <c r="C151" s="63"/>
      <c r="D151" s="64"/>
      <c r="E151" s="84"/>
      <c r="F151" s="85">
        <f t="shared" si="2"/>
        <v>0</v>
      </c>
      <c r="G151" s="86"/>
    </row>
    <row r="152" spans="2:7" x14ac:dyDescent="0.3">
      <c r="B152" s="62"/>
      <c r="C152" s="63"/>
      <c r="D152" s="64"/>
      <c r="E152" s="84"/>
      <c r="F152" s="85">
        <f t="shared" si="2"/>
        <v>0</v>
      </c>
      <c r="G152" s="86"/>
    </row>
    <row r="153" spans="2:7" x14ac:dyDescent="0.3">
      <c r="B153" s="62"/>
      <c r="C153" s="63"/>
      <c r="D153" s="64"/>
      <c r="E153" s="84"/>
      <c r="F153" s="85">
        <f t="shared" si="2"/>
        <v>0</v>
      </c>
      <c r="G153" s="86"/>
    </row>
    <row r="154" spans="2:7" x14ac:dyDescent="0.3">
      <c r="B154" s="62"/>
      <c r="C154" s="63"/>
      <c r="D154" s="64"/>
      <c r="E154" s="84"/>
      <c r="F154" s="85">
        <f t="shared" si="2"/>
        <v>0</v>
      </c>
      <c r="G154" s="86"/>
    </row>
    <row r="155" spans="2:7" x14ac:dyDescent="0.3">
      <c r="B155" s="62"/>
      <c r="C155" s="63"/>
      <c r="D155" s="64"/>
      <c r="E155" s="84"/>
      <c r="F155" s="85">
        <f t="shared" si="2"/>
        <v>0</v>
      </c>
      <c r="G155" s="86"/>
    </row>
    <row r="156" spans="2:7" x14ac:dyDescent="0.3">
      <c r="B156" s="62"/>
      <c r="C156" s="63"/>
      <c r="D156" s="64"/>
      <c r="E156" s="84"/>
      <c r="F156" s="85">
        <f t="shared" si="2"/>
        <v>0</v>
      </c>
      <c r="G156" s="86"/>
    </row>
    <row r="157" spans="2:7" x14ac:dyDescent="0.3">
      <c r="B157" s="62"/>
      <c r="C157" s="63"/>
      <c r="D157" s="64"/>
      <c r="E157" s="84"/>
      <c r="F157" s="85">
        <f t="shared" si="2"/>
        <v>0</v>
      </c>
      <c r="G157" s="86"/>
    </row>
    <row r="158" spans="2:7" x14ac:dyDescent="0.3">
      <c r="B158" s="62"/>
      <c r="C158" s="63"/>
      <c r="D158" s="64"/>
      <c r="E158" s="84"/>
      <c r="F158" s="85">
        <f t="shared" si="2"/>
        <v>0</v>
      </c>
      <c r="G158" s="86"/>
    </row>
    <row r="159" spans="2:7" x14ac:dyDescent="0.3">
      <c r="B159" s="62"/>
      <c r="C159" s="63"/>
      <c r="D159" s="64"/>
      <c r="E159" s="84"/>
      <c r="F159" s="85">
        <f t="shared" si="2"/>
        <v>0</v>
      </c>
      <c r="G159" s="86"/>
    </row>
    <row r="160" spans="2:7" x14ac:dyDescent="0.3">
      <c r="B160" s="62"/>
      <c r="C160" s="63"/>
      <c r="D160" s="64"/>
      <c r="E160" s="84"/>
      <c r="F160" s="85">
        <f t="shared" si="2"/>
        <v>0</v>
      </c>
      <c r="G160" s="86"/>
    </row>
    <row r="161" spans="2:7" x14ac:dyDescent="0.3">
      <c r="B161" s="62"/>
      <c r="C161" s="63"/>
      <c r="D161" s="64"/>
      <c r="E161" s="84"/>
      <c r="F161" s="85">
        <f t="shared" si="2"/>
        <v>0</v>
      </c>
      <c r="G161" s="86"/>
    </row>
    <row r="162" spans="2:7" x14ac:dyDescent="0.3">
      <c r="B162" s="62"/>
      <c r="C162" s="63"/>
      <c r="D162" s="64"/>
      <c r="E162" s="84"/>
      <c r="F162" s="85">
        <f t="shared" si="2"/>
        <v>0</v>
      </c>
      <c r="G162" s="86"/>
    </row>
    <row r="163" spans="2:7" x14ac:dyDescent="0.3">
      <c r="B163" s="62"/>
      <c r="C163" s="63"/>
      <c r="D163" s="64"/>
      <c r="E163" s="84"/>
      <c r="F163" s="85">
        <f t="shared" si="2"/>
        <v>0</v>
      </c>
      <c r="G163" s="86"/>
    </row>
    <row r="164" spans="2:7" x14ac:dyDescent="0.3">
      <c r="B164" s="62"/>
      <c r="C164" s="63"/>
      <c r="D164" s="64"/>
      <c r="E164" s="84"/>
      <c r="F164" s="85">
        <f t="shared" si="2"/>
        <v>0</v>
      </c>
      <c r="G164" s="86"/>
    </row>
    <row r="165" spans="2:7" x14ac:dyDescent="0.3">
      <c r="B165" s="62"/>
      <c r="C165" s="63"/>
      <c r="D165" s="64"/>
      <c r="E165" s="84"/>
      <c r="F165" s="85">
        <f t="shared" si="2"/>
        <v>0</v>
      </c>
      <c r="G165" s="86"/>
    </row>
    <row r="166" spans="2:7" x14ac:dyDescent="0.3">
      <c r="B166" s="62"/>
      <c r="C166" s="63"/>
      <c r="D166" s="64"/>
      <c r="E166" s="84"/>
      <c r="F166" s="85">
        <f t="shared" si="2"/>
        <v>0</v>
      </c>
      <c r="G166" s="86"/>
    </row>
    <row r="167" spans="2:7" x14ac:dyDescent="0.3">
      <c r="B167" s="62"/>
      <c r="C167" s="63"/>
      <c r="D167" s="64"/>
      <c r="E167" s="84"/>
      <c r="F167" s="85">
        <f t="shared" si="2"/>
        <v>0</v>
      </c>
      <c r="G167" s="86"/>
    </row>
    <row r="168" spans="2:7" x14ac:dyDescent="0.3">
      <c r="B168" s="62"/>
      <c r="C168" s="63"/>
      <c r="D168" s="64"/>
      <c r="E168" s="84"/>
      <c r="F168" s="85">
        <f t="shared" si="2"/>
        <v>0</v>
      </c>
      <c r="G168" s="86"/>
    </row>
    <row r="169" spans="2:7" x14ac:dyDescent="0.3">
      <c r="B169" s="62"/>
      <c r="C169" s="63"/>
      <c r="D169" s="64"/>
      <c r="E169" s="84"/>
      <c r="F169" s="85">
        <f t="shared" si="2"/>
        <v>0</v>
      </c>
      <c r="G169" s="86"/>
    </row>
    <row r="170" spans="2:7" x14ac:dyDescent="0.3">
      <c r="B170" s="62"/>
      <c r="C170" s="63"/>
      <c r="D170" s="64"/>
      <c r="E170" s="84"/>
      <c r="F170" s="85">
        <f t="shared" si="2"/>
        <v>0</v>
      </c>
      <c r="G170" s="86"/>
    </row>
    <row r="171" spans="2:7" x14ac:dyDescent="0.3">
      <c r="B171" s="62"/>
      <c r="C171" s="63"/>
      <c r="D171" s="64"/>
      <c r="E171" s="84"/>
      <c r="F171" s="85">
        <f t="shared" si="2"/>
        <v>0</v>
      </c>
      <c r="G171" s="86"/>
    </row>
    <row r="172" spans="2:7" x14ac:dyDescent="0.3">
      <c r="B172" s="62"/>
      <c r="C172" s="63"/>
      <c r="D172" s="64"/>
      <c r="E172" s="84"/>
      <c r="F172" s="85">
        <f t="shared" si="2"/>
        <v>0</v>
      </c>
      <c r="G172" s="86"/>
    </row>
    <row r="173" spans="2:7" x14ac:dyDescent="0.3">
      <c r="B173" s="62"/>
      <c r="C173" s="63"/>
      <c r="D173" s="64"/>
      <c r="E173" s="84"/>
      <c r="F173" s="85">
        <f t="shared" si="2"/>
        <v>0</v>
      </c>
      <c r="G173" s="86"/>
    </row>
    <row r="174" spans="2:7" x14ac:dyDescent="0.3">
      <c r="B174" s="62"/>
      <c r="C174" s="63"/>
      <c r="D174" s="64"/>
      <c r="E174" s="84"/>
      <c r="F174" s="85">
        <f t="shared" si="2"/>
        <v>0</v>
      </c>
      <c r="G174" s="86"/>
    </row>
    <row r="175" spans="2:7" x14ac:dyDescent="0.3">
      <c r="B175" s="62"/>
      <c r="C175" s="63"/>
      <c r="D175" s="64"/>
      <c r="E175" s="84"/>
      <c r="F175" s="85">
        <f t="shared" si="2"/>
        <v>0</v>
      </c>
      <c r="G175" s="86"/>
    </row>
    <row r="176" spans="2:7" x14ac:dyDescent="0.3">
      <c r="B176" s="62"/>
      <c r="C176" s="63"/>
      <c r="D176" s="64"/>
      <c r="E176" s="84"/>
      <c r="F176" s="85">
        <f t="shared" si="2"/>
        <v>0</v>
      </c>
      <c r="G176" s="86"/>
    </row>
    <row r="177" spans="2:7" x14ac:dyDescent="0.3">
      <c r="B177" s="62"/>
      <c r="C177" s="63"/>
      <c r="D177" s="64"/>
      <c r="E177" s="84"/>
      <c r="F177" s="85">
        <f t="shared" si="2"/>
        <v>0</v>
      </c>
      <c r="G177" s="86"/>
    </row>
    <row r="178" spans="2:7" x14ac:dyDescent="0.3">
      <c r="B178" s="62"/>
      <c r="C178" s="63"/>
      <c r="D178" s="64"/>
      <c r="E178" s="84"/>
      <c r="F178" s="85">
        <f t="shared" si="2"/>
        <v>0</v>
      </c>
      <c r="G178" s="86"/>
    </row>
    <row r="179" spans="2:7" x14ac:dyDescent="0.3">
      <c r="B179" s="62"/>
      <c r="C179" s="63"/>
      <c r="D179" s="64"/>
      <c r="E179" s="84"/>
      <c r="F179" s="85">
        <f t="shared" si="2"/>
        <v>0</v>
      </c>
      <c r="G179" s="86"/>
    </row>
    <row r="180" spans="2:7" x14ac:dyDescent="0.3">
      <c r="B180" s="62"/>
      <c r="C180" s="63"/>
      <c r="D180" s="64"/>
      <c r="E180" s="84"/>
      <c r="F180" s="85">
        <f t="shared" si="2"/>
        <v>0</v>
      </c>
      <c r="G180" s="86"/>
    </row>
    <row r="181" spans="2:7" x14ac:dyDescent="0.3">
      <c r="B181" s="62"/>
      <c r="C181" s="63"/>
      <c r="D181" s="64"/>
      <c r="E181" s="84"/>
      <c r="F181" s="85">
        <f t="shared" si="2"/>
        <v>0</v>
      </c>
      <c r="G181" s="86"/>
    </row>
    <row r="182" spans="2:7" x14ac:dyDescent="0.3">
      <c r="B182" s="62"/>
      <c r="C182" s="63"/>
      <c r="D182" s="64"/>
      <c r="E182" s="84"/>
      <c r="F182" s="85">
        <f t="shared" si="2"/>
        <v>0</v>
      </c>
      <c r="G182" s="86"/>
    </row>
    <row r="183" spans="2:7" x14ac:dyDescent="0.3">
      <c r="B183" s="62"/>
      <c r="C183" s="63"/>
      <c r="D183" s="64"/>
      <c r="E183" s="84"/>
      <c r="F183" s="85">
        <f t="shared" si="2"/>
        <v>0</v>
      </c>
      <c r="G183" s="86"/>
    </row>
    <row r="184" spans="2:7" x14ac:dyDescent="0.3">
      <c r="B184" s="62"/>
      <c r="C184" s="63"/>
      <c r="D184" s="64"/>
      <c r="E184" s="84"/>
      <c r="F184" s="85">
        <f t="shared" si="2"/>
        <v>0</v>
      </c>
      <c r="G184" s="86"/>
    </row>
    <row r="185" spans="2:7" x14ac:dyDescent="0.3">
      <c r="B185" s="62"/>
      <c r="C185" s="63"/>
      <c r="D185" s="64"/>
      <c r="E185" s="84"/>
      <c r="F185" s="85">
        <f t="shared" si="2"/>
        <v>0</v>
      </c>
      <c r="G185" s="86"/>
    </row>
    <row r="186" spans="2:7" x14ac:dyDescent="0.3">
      <c r="B186" s="62"/>
      <c r="C186" s="63"/>
      <c r="D186" s="64"/>
      <c r="E186" s="84"/>
      <c r="F186" s="85">
        <f t="shared" si="2"/>
        <v>0</v>
      </c>
      <c r="G186" s="86"/>
    </row>
    <row r="187" spans="2:7" x14ac:dyDescent="0.3">
      <c r="B187" s="62"/>
      <c r="C187" s="63"/>
      <c r="D187" s="64"/>
      <c r="E187" s="84"/>
      <c r="F187" s="85">
        <f t="shared" si="2"/>
        <v>0</v>
      </c>
      <c r="G187" s="86"/>
    </row>
    <row r="188" spans="2:7" x14ac:dyDescent="0.3">
      <c r="B188" s="62"/>
      <c r="C188" s="63"/>
      <c r="D188" s="64"/>
      <c r="E188" s="84"/>
      <c r="F188" s="85">
        <f t="shared" si="2"/>
        <v>0</v>
      </c>
      <c r="G188" s="86"/>
    </row>
    <row r="189" spans="2:7" x14ac:dyDescent="0.3">
      <c r="B189" s="62"/>
      <c r="C189" s="63"/>
      <c r="D189" s="64"/>
      <c r="E189" s="84"/>
      <c r="F189" s="85">
        <f t="shared" si="2"/>
        <v>0</v>
      </c>
      <c r="G189" s="86"/>
    </row>
    <row r="190" spans="2:7" x14ac:dyDescent="0.3">
      <c r="B190" s="62"/>
      <c r="C190" s="63"/>
      <c r="D190" s="64"/>
      <c r="E190" s="84"/>
      <c r="F190" s="85">
        <f t="shared" si="2"/>
        <v>0</v>
      </c>
      <c r="G190" s="86"/>
    </row>
    <row r="191" spans="2:7" x14ac:dyDescent="0.3">
      <c r="B191" s="62"/>
      <c r="C191" s="63"/>
      <c r="D191" s="64"/>
      <c r="E191" s="84"/>
      <c r="F191" s="85">
        <f t="shared" si="2"/>
        <v>0</v>
      </c>
      <c r="G191" s="86"/>
    </row>
    <row r="192" spans="2:7" x14ac:dyDescent="0.3">
      <c r="B192" s="62"/>
      <c r="C192" s="63"/>
      <c r="D192" s="64"/>
      <c r="E192" s="84"/>
      <c r="F192" s="85">
        <f t="shared" si="2"/>
        <v>0</v>
      </c>
      <c r="G192" s="86"/>
    </row>
    <row r="193" spans="2:14" x14ac:dyDescent="0.3">
      <c r="B193" s="62"/>
      <c r="C193" s="62"/>
      <c r="D193" s="65"/>
      <c r="E193" s="86"/>
      <c r="F193" s="85">
        <f t="shared" si="2"/>
        <v>0</v>
      </c>
      <c r="G193" s="86"/>
    </row>
    <row r="194" spans="2:14" x14ac:dyDescent="0.3">
      <c r="B194" s="62"/>
      <c r="C194" s="62"/>
      <c r="D194" s="65"/>
      <c r="E194" s="86"/>
      <c r="F194" s="85">
        <f t="shared" si="2"/>
        <v>0</v>
      </c>
      <c r="G194" s="86"/>
    </row>
    <row r="196" spans="2:14" ht="15" thickBot="1" x14ac:dyDescent="0.35"/>
    <row r="197" spans="2:14" ht="15" thickBot="1" x14ac:dyDescent="0.35">
      <c r="B197" s="67">
        <f>SUM(B8:B195)</f>
        <v>0</v>
      </c>
      <c r="D197" s="13" t="s">
        <v>29</v>
      </c>
      <c r="E197" s="14"/>
      <c r="F197" s="15">
        <f>SUM(F8:F195)</f>
        <v>0</v>
      </c>
      <c r="I197" s="16"/>
      <c r="J197" s="16"/>
      <c r="K197" s="16"/>
      <c r="L197" s="16"/>
      <c r="M197" s="16"/>
      <c r="N197" s="16"/>
    </row>
    <row r="198" spans="2:14" ht="15" thickBot="1" x14ac:dyDescent="0.35">
      <c r="D198" s="13" t="s">
        <v>30</v>
      </c>
      <c r="E198" s="290"/>
      <c r="F198" s="291"/>
      <c r="G198" s="15">
        <f>SUM(G8:G195)</f>
        <v>0</v>
      </c>
      <c r="I198" s="16"/>
      <c r="J198" s="16"/>
      <c r="K198" s="16"/>
      <c r="L198" s="16"/>
      <c r="M198" s="16"/>
      <c r="N198" s="16"/>
    </row>
    <row r="199" spans="2:14" x14ac:dyDescent="0.3">
      <c r="G199" s="6"/>
      <c r="I199" s="16"/>
      <c r="J199" s="16"/>
      <c r="K199" s="16"/>
      <c r="L199" s="16"/>
      <c r="M199" s="16"/>
      <c r="N199" s="16"/>
    </row>
    <row r="200" spans="2:14" x14ac:dyDescent="0.3">
      <c r="D200" s="17" t="s">
        <v>25</v>
      </c>
      <c r="E200" s="18">
        <v>0.1</v>
      </c>
      <c r="F200" s="11">
        <f>F197*E200</f>
        <v>0</v>
      </c>
      <c r="H200" s="12" t="s">
        <v>31</v>
      </c>
      <c r="I200" s="16"/>
      <c r="J200" s="16"/>
      <c r="K200" s="16"/>
      <c r="L200" s="16"/>
      <c r="M200" s="16"/>
      <c r="N200" s="16"/>
    </row>
    <row r="201" spans="2:14" x14ac:dyDescent="0.3">
      <c r="D201" s="17" t="s">
        <v>7</v>
      </c>
      <c r="E201" s="19">
        <v>110</v>
      </c>
      <c r="F201" s="11">
        <f>B197*E201</f>
        <v>0</v>
      </c>
      <c r="H201" s="20">
        <f>B197</f>
        <v>0</v>
      </c>
      <c r="I201" s="16"/>
      <c r="J201" s="16"/>
      <c r="K201" s="16"/>
      <c r="L201" s="16"/>
      <c r="M201" s="16"/>
      <c r="N201" s="16"/>
    </row>
    <row r="202" spans="2:14" x14ac:dyDescent="0.3">
      <c r="D202" s="17" t="s">
        <v>8</v>
      </c>
      <c r="E202" s="21">
        <v>0.4</v>
      </c>
      <c r="F202" s="11">
        <f>F201*E202</f>
        <v>0</v>
      </c>
      <c r="H202" s="20">
        <f>F202/E201</f>
        <v>0</v>
      </c>
      <c r="I202" s="16"/>
      <c r="J202" s="16"/>
      <c r="K202" s="16"/>
      <c r="L202" s="16"/>
      <c r="M202" s="16"/>
      <c r="N202" s="16"/>
    </row>
    <row r="203" spans="2:14" x14ac:dyDescent="0.3">
      <c r="D203" s="17" t="s">
        <v>9</v>
      </c>
      <c r="E203" s="21">
        <v>0.2</v>
      </c>
      <c r="F203" s="11">
        <f>F201*E203</f>
        <v>0</v>
      </c>
      <c r="H203" s="20">
        <f>F203/E201</f>
        <v>0</v>
      </c>
      <c r="I203" s="16"/>
      <c r="J203" s="16"/>
      <c r="K203" s="16"/>
      <c r="L203" s="16"/>
      <c r="M203" s="16"/>
      <c r="N203" s="16"/>
    </row>
    <row r="204" spans="2:14" x14ac:dyDescent="0.3">
      <c r="D204" s="22" t="s">
        <v>14</v>
      </c>
      <c r="E204" s="23"/>
      <c r="F204" s="24">
        <f>F197+SUM(F200:F203)</f>
        <v>0</v>
      </c>
      <c r="I204" s="16"/>
      <c r="J204" s="16"/>
      <c r="K204" s="16"/>
      <c r="L204" s="16"/>
      <c r="M204" s="16"/>
      <c r="N204" s="16"/>
    </row>
    <row r="205" spans="2:14" x14ac:dyDescent="0.3">
      <c r="D205" s="17" t="s">
        <v>10</v>
      </c>
      <c r="E205" s="21">
        <v>0.4</v>
      </c>
      <c r="F205" s="1">
        <f>E205*F204</f>
        <v>0</v>
      </c>
      <c r="I205" s="16"/>
      <c r="J205" s="16"/>
      <c r="K205" s="16"/>
      <c r="L205" s="16"/>
      <c r="M205" s="16"/>
      <c r="N205" s="16"/>
    </row>
    <row r="206" spans="2:14" s="29" customFormat="1" ht="20.100000000000001" customHeight="1" x14ac:dyDescent="0.3">
      <c r="B206" s="16"/>
      <c r="C206" s="16"/>
      <c r="D206" s="25" t="s">
        <v>11</v>
      </c>
      <c r="E206" s="26"/>
      <c r="F206" s="27">
        <f>F204+F205</f>
        <v>0</v>
      </c>
      <c r="G206" s="28"/>
      <c r="I206" s="16"/>
      <c r="J206" s="16"/>
      <c r="K206" s="16"/>
      <c r="L206" s="16"/>
      <c r="M206" s="16"/>
      <c r="N206" s="16"/>
    </row>
    <row r="207" spans="2:14" x14ac:dyDescent="0.3">
      <c r="D207" s="5"/>
      <c r="E207" s="30"/>
      <c r="I207" s="16"/>
      <c r="J207" s="16"/>
      <c r="K207" s="16"/>
      <c r="L207" s="16"/>
      <c r="M207" s="16"/>
      <c r="N207" s="16"/>
    </row>
    <row r="208" spans="2:14" x14ac:dyDescent="0.3">
      <c r="D208" s="31" t="s">
        <v>20</v>
      </c>
      <c r="E208" s="32"/>
      <c r="F208" s="32">
        <v>0</v>
      </c>
      <c r="I208" s="16"/>
      <c r="J208" s="16"/>
      <c r="K208" s="16"/>
      <c r="L208" s="16"/>
      <c r="M208" s="16"/>
      <c r="N208" s="16"/>
    </row>
    <row r="209" spans="1:16" x14ac:dyDescent="0.3">
      <c r="D209" s="31" t="s">
        <v>22</v>
      </c>
      <c r="E209" s="32"/>
      <c r="F209" s="32">
        <v>0</v>
      </c>
      <c r="I209" s="16"/>
      <c r="J209" s="16"/>
      <c r="K209" s="16"/>
      <c r="L209" s="16"/>
      <c r="M209" s="16"/>
      <c r="N209" s="16"/>
    </row>
    <row r="210" spans="1:16" x14ac:dyDescent="0.3">
      <c r="D210" s="31" t="s">
        <v>22</v>
      </c>
      <c r="E210" s="32"/>
      <c r="F210" s="32">
        <v>0</v>
      </c>
      <c r="I210" s="16"/>
      <c r="J210" s="16"/>
      <c r="K210" s="16"/>
      <c r="L210" s="16"/>
      <c r="M210" s="16"/>
      <c r="N210" s="16"/>
    </row>
    <row r="211" spans="1:16" x14ac:dyDescent="0.3">
      <c r="D211" s="31" t="s">
        <v>21</v>
      </c>
      <c r="E211" s="33">
        <v>0.25</v>
      </c>
      <c r="F211" s="68">
        <f>(F208+F209+F210)*E211</f>
        <v>0</v>
      </c>
      <c r="I211" s="16"/>
      <c r="J211" s="16"/>
      <c r="K211" s="16"/>
      <c r="L211" s="16"/>
      <c r="M211" s="16"/>
      <c r="N211" s="16"/>
    </row>
    <row r="212" spans="1:16" x14ac:dyDescent="0.3">
      <c r="D212" s="34" t="s">
        <v>23</v>
      </c>
      <c r="E212" s="35"/>
      <c r="F212" s="36">
        <f>F208+F209+F210+F211</f>
        <v>0</v>
      </c>
      <c r="I212" s="16"/>
      <c r="J212" s="16"/>
      <c r="K212" s="16"/>
      <c r="L212" s="16"/>
      <c r="M212" s="16"/>
      <c r="N212" s="16"/>
    </row>
    <row r="213" spans="1:16" x14ac:dyDescent="0.3">
      <c r="E213" s="37"/>
      <c r="I213" s="16"/>
      <c r="J213" s="16"/>
      <c r="K213" s="16"/>
      <c r="L213" s="16"/>
      <c r="M213" s="16"/>
      <c r="N213" s="16"/>
    </row>
    <row r="214" spans="1:16" x14ac:dyDescent="0.3">
      <c r="D214" s="22" t="s">
        <v>12</v>
      </c>
      <c r="E214" s="38"/>
      <c r="F214" s="39">
        <f>I215</f>
        <v>0</v>
      </c>
      <c r="H214" s="40" t="s">
        <v>16</v>
      </c>
      <c r="I214" s="40" t="s">
        <v>18</v>
      </c>
      <c r="J214" s="16"/>
      <c r="K214" s="16"/>
      <c r="L214" s="16"/>
      <c r="M214" s="16"/>
      <c r="N214" s="16"/>
      <c r="O214" s="41" t="s">
        <v>26</v>
      </c>
      <c r="P214" s="41" t="s">
        <v>18</v>
      </c>
    </row>
    <row r="215" spans="1:16" x14ac:dyDescent="0.3">
      <c r="D215" s="17" t="s">
        <v>19</v>
      </c>
      <c r="E215" s="42">
        <v>0</v>
      </c>
      <c r="F215" s="11">
        <f>F214*E215</f>
        <v>0</v>
      </c>
      <c r="H215" s="61"/>
      <c r="I215" s="1"/>
      <c r="J215" s="16"/>
      <c r="K215" s="16"/>
      <c r="L215" s="16"/>
      <c r="M215" s="16"/>
      <c r="N215" s="16"/>
      <c r="O215" s="43" t="s">
        <v>27</v>
      </c>
      <c r="P215" s="44">
        <v>6.6250000000000003E-2</v>
      </c>
    </row>
    <row r="216" spans="1:16" x14ac:dyDescent="0.3">
      <c r="D216" s="17"/>
      <c r="E216" s="45"/>
      <c r="F216" s="11"/>
      <c r="H216" s="46"/>
      <c r="I216" s="46"/>
      <c r="J216" s="16"/>
      <c r="K216" s="16"/>
      <c r="L216" s="16"/>
      <c r="M216" s="16"/>
      <c r="N216" s="16"/>
      <c r="O216" s="47" t="s">
        <v>28</v>
      </c>
      <c r="P216" s="48">
        <v>8.8749999999999996E-2</v>
      </c>
    </row>
    <row r="217" spans="1:16" x14ac:dyDescent="0.3">
      <c r="D217" s="17" t="s">
        <v>13</v>
      </c>
      <c r="E217" s="42">
        <v>0.25</v>
      </c>
      <c r="F217" s="11">
        <f>E217*(F214+F215)</f>
        <v>0</v>
      </c>
      <c r="H217" s="1"/>
      <c r="I217" s="1"/>
      <c r="J217" s="16"/>
      <c r="K217" s="16"/>
      <c r="L217" s="16"/>
      <c r="M217" s="16"/>
      <c r="N217" s="16"/>
      <c r="O217" s="43" t="s">
        <v>32</v>
      </c>
      <c r="P217" s="44">
        <v>0</v>
      </c>
    </row>
    <row r="218" spans="1:16" s="29" customFormat="1" ht="20.100000000000001" customHeight="1" x14ac:dyDescent="0.3">
      <c r="B218" s="16"/>
      <c r="C218" s="16"/>
      <c r="D218" s="25" t="s">
        <v>15</v>
      </c>
      <c r="E218" s="49"/>
      <c r="F218" s="50">
        <f>F214+F215+F217</f>
        <v>0</v>
      </c>
      <c r="G218" s="28"/>
      <c r="H218" s="46"/>
      <c r="I218" s="46"/>
      <c r="J218"/>
      <c r="K218"/>
      <c r="L218"/>
      <c r="M218"/>
      <c r="N218"/>
    </row>
    <row r="219" spans="1:16" ht="15" thickBot="1" x14ac:dyDescent="0.35">
      <c r="D219" s="4"/>
      <c r="E219" s="51"/>
      <c r="H219" s="16"/>
      <c r="I219" s="16"/>
    </row>
    <row r="220" spans="1:16" ht="15" thickBot="1" x14ac:dyDescent="0.35">
      <c r="D220" s="7" t="s">
        <v>24</v>
      </c>
      <c r="E220" s="52">
        <f>_xlfn.XLOOKUP(G220, O215:O217, P215:P217, 0)</f>
        <v>8.8749999999999996E-2</v>
      </c>
      <c r="F220" s="53">
        <f>F197*E220</f>
        <v>0</v>
      </c>
      <c r="G220" s="54" t="s">
        <v>28</v>
      </c>
      <c r="I220" s="16"/>
      <c r="J220" s="16"/>
      <c r="K220" s="16"/>
      <c r="L220" s="16"/>
      <c r="M220" s="16"/>
      <c r="N220" s="16"/>
    </row>
    <row r="221" spans="1:16" x14ac:dyDescent="0.3">
      <c r="D221" s="7" t="s">
        <v>33</v>
      </c>
      <c r="E221" s="55">
        <v>0.05</v>
      </c>
      <c r="F221" s="8">
        <f>E221*(F206+F212+F218+F220)</f>
        <v>0</v>
      </c>
      <c r="I221" s="16"/>
      <c r="J221" s="16"/>
      <c r="K221" s="16"/>
      <c r="L221" s="16"/>
      <c r="M221" s="16"/>
      <c r="N221" s="16"/>
    </row>
    <row r="222" spans="1:16" ht="20.25" customHeight="1" x14ac:dyDescent="0.3">
      <c r="D222" s="56" t="s">
        <v>0</v>
      </c>
      <c r="E222" s="57"/>
      <c r="F222" s="57">
        <f>F206+F218+F220+F212+F221</f>
        <v>0</v>
      </c>
      <c r="I222" s="16"/>
      <c r="J222" s="16"/>
      <c r="K222" s="16"/>
      <c r="L222" s="16"/>
      <c r="M222" s="16"/>
      <c r="N222" s="16"/>
    </row>
    <row r="223" spans="1:16" x14ac:dyDescent="0.3">
      <c r="D223" s="58" t="s">
        <v>17</v>
      </c>
      <c r="E223" s="59" t="e">
        <f>F223/(F222-F220)</f>
        <v>#DIV/0!</v>
      </c>
      <c r="F223" s="60">
        <f>F222-F204-F214-F208-F209-F210-F220-F215</f>
        <v>0</v>
      </c>
      <c r="I223" s="16"/>
      <c r="J223" s="16"/>
      <c r="K223" s="16"/>
      <c r="L223" s="16"/>
      <c r="M223" s="16"/>
      <c r="N223" s="16"/>
    </row>
    <row r="224" spans="1:16" x14ac:dyDescent="0.3">
      <c r="A224" s="283" t="str">
        <f>HYPERLINK("#A1", "🔼 Go to Top")</f>
        <v>🔼 Go to Top</v>
      </c>
      <c r="B224" s="283"/>
    </row>
  </sheetData>
  <mergeCells count="7">
    <mergeCell ref="E198:F198"/>
    <mergeCell ref="A224:B224"/>
    <mergeCell ref="B2:D2"/>
    <mergeCell ref="E2:H2"/>
    <mergeCell ref="B3:C3"/>
    <mergeCell ref="B4:C4"/>
    <mergeCell ref="B6:C6"/>
  </mergeCells>
  <dataValidations count="1">
    <dataValidation type="list" allowBlank="1" showInputMessage="1" showErrorMessage="1" sqref="G220" xr:uid="{36434316-9563-4556-ACDA-88CA0FFE0360}">
      <formula1>O215:O217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CE68-2C92-4728-BEB8-F0960412D96A}">
  <dimension ref="A1:P224"/>
  <sheetViews>
    <sheetView showGridLines="0" topLeftCell="A181" zoomScaleNormal="100" workbookViewId="0">
      <selection activeCell="G198" sqref="G198"/>
    </sheetView>
  </sheetViews>
  <sheetFormatPr defaultRowHeight="14.4" x14ac:dyDescent="0.3"/>
  <cols>
    <col min="1" max="1" width="3.6640625" customWidth="1"/>
    <col min="2" max="3" width="10.6640625" style="3" customWidth="1"/>
    <col min="4" max="4" width="75.6640625" customWidth="1"/>
    <col min="5" max="7" width="14.6640625" style="2" customWidth="1"/>
    <col min="8" max="8" width="14.33203125" customWidth="1"/>
    <col min="9" max="9" width="11.5546875" bestFit="1" customWidth="1"/>
    <col min="15" max="15" width="11.33203125" customWidth="1"/>
  </cols>
  <sheetData>
    <row r="1" spans="2:8" ht="7.5" customHeight="1" thickBot="1" x14ac:dyDescent="0.35"/>
    <row r="2" spans="2:8" ht="24" customHeight="1" thickBot="1" x14ac:dyDescent="0.35">
      <c r="B2" s="298" t="s">
        <v>43</v>
      </c>
      <c r="C2" s="299"/>
      <c r="D2" s="299"/>
      <c r="E2" s="276" t="s">
        <v>42</v>
      </c>
      <c r="F2" s="277"/>
      <c r="G2" s="277"/>
      <c r="H2" s="278"/>
    </row>
    <row r="3" spans="2:8" x14ac:dyDescent="0.3">
      <c r="B3" s="284" t="s">
        <v>36</v>
      </c>
      <c r="C3" s="285"/>
      <c r="D3" s="81"/>
      <c r="E3" s="82"/>
      <c r="F3" s="71"/>
      <c r="G3" s="71"/>
      <c r="H3" s="76"/>
    </row>
    <row r="4" spans="2:8" x14ac:dyDescent="0.3">
      <c r="B4" s="288" t="s">
        <v>44</v>
      </c>
      <c r="C4" s="287"/>
      <c r="D4" s="78"/>
      <c r="E4" s="82"/>
      <c r="F4" s="71"/>
      <c r="G4" s="71"/>
      <c r="H4" s="76"/>
    </row>
    <row r="5" spans="2:8" ht="15" thickBot="1" x14ac:dyDescent="0.35">
      <c r="B5" s="74"/>
      <c r="C5" s="80"/>
      <c r="D5" s="70"/>
      <c r="E5" s="82"/>
      <c r="F5" s="71"/>
      <c r="G5" s="71"/>
      <c r="H5" s="76"/>
    </row>
    <row r="6" spans="2:8" ht="15" thickBot="1" x14ac:dyDescent="0.35">
      <c r="B6" s="279" t="str" cm="1">
        <f t="array" ref="B6">HYPERLINK("#G" &amp; MAX(ROW(F1:F99984)*(F1:F99984&lt;&gt;"")), "Go to Pricing Info")</f>
        <v>Go to Pricing Info</v>
      </c>
      <c r="C6" s="280"/>
      <c r="D6" s="72"/>
      <c r="E6" s="83"/>
      <c r="F6" s="73"/>
      <c r="G6" s="73"/>
      <c r="H6" s="77"/>
    </row>
    <row r="8" spans="2:8" x14ac:dyDescent="0.3">
      <c r="B8" s="9" t="s">
        <v>1</v>
      </c>
      <c r="C8" s="9" t="s">
        <v>2</v>
      </c>
      <c r="D8" s="9" t="s">
        <v>3</v>
      </c>
      <c r="E8" s="10" t="s">
        <v>4</v>
      </c>
      <c r="F8" s="10" t="s">
        <v>5</v>
      </c>
      <c r="G8" s="10" t="s">
        <v>6</v>
      </c>
    </row>
    <row r="9" spans="2:8" x14ac:dyDescent="0.3">
      <c r="B9" s="62"/>
      <c r="C9" s="63">
        <v>1</v>
      </c>
      <c r="D9" s="64"/>
      <c r="E9" s="84"/>
      <c r="F9" s="85">
        <f>C9*E9</f>
        <v>0</v>
      </c>
      <c r="G9" s="86"/>
    </row>
    <row r="10" spans="2:8" x14ac:dyDescent="0.3">
      <c r="B10" s="62"/>
      <c r="C10" s="62"/>
      <c r="D10" s="65"/>
      <c r="E10" s="86"/>
      <c r="F10" s="85">
        <f t="shared" ref="F10:F73" si="0">C10*E10</f>
        <v>0</v>
      </c>
      <c r="G10" s="86"/>
    </row>
    <row r="11" spans="2:8" x14ac:dyDescent="0.3">
      <c r="B11" s="62"/>
      <c r="C11" s="63"/>
      <c r="D11" s="64"/>
      <c r="E11" s="84"/>
      <c r="F11" s="85">
        <f t="shared" si="0"/>
        <v>0</v>
      </c>
      <c r="G11" s="86"/>
    </row>
    <row r="12" spans="2:8" x14ac:dyDescent="0.3">
      <c r="B12" s="62"/>
      <c r="C12" s="62"/>
      <c r="D12" s="65"/>
      <c r="E12" s="86"/>
      <c r="F12" s="85">
        <f t="shared" si="0"/>
        <v>0</v>
      </c>
      <c r="G12" s="86"/>
    </row>
    <row r="13" spans="2:8" x14ac:dyDescent="0.3">
      <c r="B13" s="62"/>
      <c r="C13" s="63"/>
      <c r="D13" s="64"/>
      <c r="E13" s="84"/>
      <c r="F13" s="85">
        <f t="shared" si="0"/>
        <v>0</v>
      </c>
      <c r="G13" s="86"/>
    </row>
    <row r="14" spans="2:8" x14ac:dyDescent="0.3">
      <c r="B14" s="62"/>
      <c r="C14" s="62"/>
      <c r="D14" s="65"/>
      <c r="E14" s="86"/>
      <c r="F14" s="85">
        <f t="shared" si="0"/>
        <v>0</v>
      </c>
      <c r="G14" s="86"/>
    </row>
    <row r="15" spans="2:8" x14ac:dyDescent="0.3">
      <c r="B15" s="12"/>
      <c r="C15" s="63"/>
      <c r="D15" s="64"/>
      <c r="E15" s="84"/>
      <c r="F15" s="85">
        <f t="shared" si="0"/>
        <v>0</v>
      </c>
      <c r="G15" s="86"/>
    </row>
    <row r="16" spans="2:8" x14ac:dyDescent="0.3">
      <c r="B16" s="62"/>
      <c r="C16" s="62"/>
      <c r="D16" s="65"/>
      <c r="E16" s="86"/>
      <c r="F16" s="85">
        <f t="shared" si="0"/>
        <v>0</v>
      </c>
      <c r="G16" s="86"/>
    </row>
    <row r="17" spans="2:7" x14ac:dyDescent="0.3">
      <c r="B17" s="62"/>
      <c r="C17" s="63"/>
      <c r="D17" s="64"/>
      <c r="E17" s="84"/>
      <c r="F17" s="85">
        <f t="shared" si="0"/>
        <v>0</v>
      </c>
      <c r="G17" s="86"/>
    </row>
    <row r="18" spans="2:7" x14ac:dyDescent="0.3">
      <c r="B18" s="62"/>
      <c r="C18" s="62"/>
      <c r="D18" s="65"/>
      <c r="E18" s="86"/>
      <c r="F18" s="85">
        <f t="shared" si="0"/>
        <v>0</v>
      </c>
      <c r="G18" s="86"/>
    </row>
    <row r="19" spans="2:7" x14ac:dyDescent="0.3">
      <c r="B19" s="62"/>
      <c r="C19" s="63"/>
      <c r="D19" s="66"/>
      <c r="E19" s="84"/>
      <c r="F19" s="85">
        <f t="shared" si="0"/>
        <v>0</v>
      </c>
      <c r="G19" s="86"/>
    </row>
    <row r="20" spans="2:7" x14ac:dyDescent="0.3">
      <c r="B20" s="62"/>
      <c r="C20" s="62"/>
      <c r="D20" s="65"/>
      <c r="E20" s="86"/>
      <c r="F20" s="85">
        <f t="shared" si="0"/>
        <v>0</v>
      </c>
      <c r="G20" s="86"/>
    </row>
    <row r="21" spans="2:7" x14ac:dyDescent="0.3">
      <c r="B21" s="62"/>
      <c r="C21" s="63"/>
      <c r="D21" s="64"/>
      <c r="E21" s="84"/>
      <c r="F21" s="85">
        <f t="shared" si="0"/>
        <v>0</v>
      </c>
      <c r="G21" s="86"/>
    </row>
    <row r="22" spans="2:7" x14ac:dyDescent="0.3">
      <c r="B22" s="62"/>
      <c r="C22" s="62"/>
      <c r="D22" s="65"/>
      <c r="E22" s="86"/>
      <c r="F22" s="85">
        <f t="shared" si="0"/>
        <v>0</v>
      </c>
      <c r="G22" s="86"/>
    </row>
    <row r="23" spans="2:7" x14ac:dyDescent="0.3">
      <c r="B23" s="62"/>
      <c r="C23" s="63"/>
      <c r="D23" s="64"/>
      <c r="E23" s="84"/>
      <c r="F23" s="85">
        <f t="shared" si="0"/>
        <v>0</v>
      </c>
      <c r="G23" s="86"/>
    </row>
    <row r="24" spans="2:7" x14ac:dyDescent="0.3">
      <c r="B24" s="62"/>
      <c r="C24" s="62"/>
      <c r="D24" s="65"/>
      <c r="E24" s="86"/>
      <c r="F24" s="85">
        <f t="shared" si="0"/>
        <v>0</v>
      </c>
      <c r="G24" s="86"/>
    </row>
    <row r="25" spans="2:7" x14ac:dyDescent="0.3">
      <c r="B25" s="62"/>
      <c r="C25" s="63"/>
      <c r="D25" s="64"/>
      <c r="E25" s="84"/>
      <c r="F25" s="85">
        <f t="shared" si="0"/>
        <v>0</v>
      </c>
      <c r="G25" s="86"/>
    </row>
    <row r="26" spans="2:7" x14ac:dyDescent="0.3">
      <c r="B26" s="62"/>
      <c r="C26" s="62"/>
      <c r="D26" s="65"/>
      <c r="E26" s="86"/>
      <c r="F26" s="85">
        <f t="shared" si="0"/>
        <v>0</v>
      </c>
      <c r="G26" s="86"/>
    </row>
    <row r="27" spans="2:7" x14ac:dyDescent="0.3">
      <c r="B27" s="62"/>
      <c r="C27" s="63"/>
      <c r="D27" s="64"/>
      <c r="E27" s="84"/>
      <c r="F27" s="85">
        <f t="shared" si="0"/>
        <v>0</v>
      </c>
      <c r="G27" s="86"/>
    </row>
    <row r="28" spans="2:7" x14ac:dyDescent="0.3">
      <c r="B28" s="62"/>
      <c r="C28" s="62"/>
      <c r="D28" s="65"/>
      <c r="E28" s="86"/>
      <c r="F28" s="85">
        <f t="shared" si="0"/>
        <v>0</v>
      </c>
      <c r="G28" s="86"/>
    </row>
    <row r="29" spans="2:7" x14ac:dyDescent="0.3">
      <c r="B29" s="62"/>
      <c r="C29" s="63"/>
      <c r="D29" s="64"/>
      <c r="E29" s="84"/>
      <c r="F29" s="85">
        <f t="shared" si="0"/>
        <v>0</v>
      </c>
      <c r="G29" s="86"/>
    </row>
    <row r="30" spans="2:7" x14ac:dyDescent="0.3">
      <c r="B30" s="62"/>
      <c r="C30" s="62"/>
      <c r="D30" s="65"/>
      <c r="E30" s="86"/>
      <c r="F30" s="85">
        <f t="shared" si="0"/>
        <v>0</v>
      </c>
      <c r="G30" s="86"/>
    </row>
    <row r="31" spans="2:7" x14ac:dyDescent="0.3">
      <c r="B31" s="62"/>
      <c r="C31" s="63"/>
      <c r="D31" s="64"/>
      <c r="E31" s="84"/>
      <c r="F31" s="85">
        <f t="shared" si="0"/>
        <v>0</v>
      </c>
      <c r="G31" s="86"/>
    </row>
    <row r="32" spans="2:7" x14ac:dyDescent="0.3">
      <c r="B32" s="62"/>
      <c r="C32" s="62"/>
      <c r="D32" s="65"/>
      <c r="E32" s="86"/>
      <c r="F32" s="85">
        <f t="shared" si="0"/>
        <v>0</v>
      </c>
      <c r="G32" s="86"/>
    </row>
    <row r="33" spans="2:7" x14ac:dyDescent="0.3">
      <c r="B33" s="62"/>
      <c r="C33" s="63"/>
      <c r="D33" s="64"/>
      <c r="E33" s="84"/>
      <c r="F33" s="85">
        <f t="shared" si="0"/>
        <v>0</v>
      </c>
      <c r="G33" s="86"/>
    </row>
    <row r="34" spans="2:7" x14ac:dyDescent="0.3">
      <c r="B34" s="62"/>
      <c r="C34" s="62"/>
      <c r="D34" s="65"/>
      <c r="E34" s="86"/>
      <c r="F34" s="85">
        <f t="shared" si="0"/>
        <v>0</v>
      </c>
      <c r="G34" s="86"/>
    </row>
    <row r="35" spans="2:7" x14ac:dyDescent="0.3">
      <c r="B35" s="62"/>
      <c r="C35" s="63"/>
      <c r="D35" s="64"/>
      <c r="E35" s="84"/>
      <c r="F35" s="85">
        <f t="shared" si="0"/>
        <v>0</v>
      </c>
      <c r="G35" s="86"/>
    </row>
    <row r="36" spans="2:7" x14ac:dyDescent="0.3">
      <c r="B36" s="62"/>
      <c r="C36" s="62"/>
      <c r="D36" s="65"/>
      <c r="E36" s="86"/>
      <c r="F36" s="85">
        <f t="shared" si="0"/>
        <v>0</v>
      </c>
      <c r="G36" s="86"/>
    </row>
    <row r="37" spans="2:7" x14ac:dyDescent="0.3">
      <c r="B37" s="62"/>
      <c r="C37" s="63"/>
      <c r="D37" s="64"/>
      <c r="E37" s="84"/>
      <c r="F37" s="85">
        <f t="shared" si="0"/>
        <v>0</v>
      </c>
      <c r="G37" s="86"/>
    </row>
    <row r="38" spans="2:7" x14ac:dyDescent="0.3">
      <c r="B38" s="62"/>
      <c r="C38" s="63"/>
      <c r="D38" s="64"/>
      <c r="E38" s="84"/>
      <c r="F38" s="85">
        <f t="shared" si="0"/>
        <v>0</v>
      </c>
      <c r="G38" s="86"/>
    </row>
    <row r="39" spans="2:7" x14ac:dyDescent="0.3">
      <c r="B39" s="62"/>
      <c r="C39" s="63"/>
      <c r="D39" s="64"/>
      <c r="E39" s="84"/>
      <c r="F39" s="85">
        <f t="shared" si="0"/>
        <v>0</v>
      </c>
      <c r="G39" s="86"/>
    </row>
    <row r="40" spans="2:7" x14ac:dyDescent="0.3">
      <c r="B40" s="62"/>
      <c r="C40" s="63"/>
      <c r="D40" s="64"/>
      <c r="E40" s="84"/>
      <c r="F40" s="85">
        <f t="shared" si="0"/>
        <v>0</v>
      </c>
      <c r="G40" s="86"/>
    </row>
    <row r="41" spans="2:7" x14ac:dyDescent="0.3">
      <c r="B41" s="62"/>
      <c r="C41" s="63"/>
      <c r="D41" s="64"/>
      <c r="E41" s="84"/>
      <c r="F41" s="85">
        <f t="shared" si="0"/>
        <v>0</v>
      </c>
      <c r="G41" s="86"/>
    </row>
    <row r="42" spans="2:7" x14ac:dyDescent="0.3">
      <c r="B42" s="62"/>
      <c r="C42" s="63"/>
      <c r="D42" s="64"/>
      <c r="E42" s="84"/>
      <c r="F42" s="85">
        <f t="shared" si="0"/>
        <v>0</v>
      </c>
      <c r="G42" s="86"/>
    </row>
    <row r="43" spans="2:7" x14ac:dyDescent="0.3">
      <c r="B43" s="62"/>
      <c r="C43" s="63"/>
      <c r="D43" s="64"/>
      <c r="E43" s="84"/>
      <c r="F43" s="85">
        <f t="shared" si="0"/>
        <v>0</v>
      </c>
      <c r="G43" s="86"/>
    </row>
    <row r="44" spans="2:7" x14ac:dyDescent="0.3">
      <c r="B44" s="62"/>
      <c r="C44" s="63"/>
      <c r="D44" s="64"/>
      <c r="E44" s="84"/>
      <c r="F44" s="85">
        <f t="shared" si="0"/>
        <v>0</v>
      </c>
      <c r="G44" s="86"/>
    </row>
    <row r="45" spans="2:7" x14ac:dyDescent="0.3">
      <c r="B45" s="62"/>
      <c r="C45" s="63"/>
      <c r="D45" s="64"/>
      <c r="E45" s="84"/>
      <c r="F45" s="85">
        <f t="shared" si="0"/>
        <v>0</v>
      </c>
      <c r="G45" s="86"/>
    </row>
    <row r="46" spans="2:7" x14ac:dyDescent="0.3">
      <c r="B46" s="62"/>
      <c r="C46" s="63"/>
      <c r="D46" s="64"/>
      <c r="E46" s="84"/>
      <c r="F46" s="85">
        <f t="shared" si="0"/>
        <v>0</v>
      </c>
      <c r="G46" s="86"/>
    </row>
    <row r="47" spans="2:7" x14ac:dyDescent="0.3">
      <c r="B47" s="62"/>
      <c r="C47" s="63"/>
      <c r="D47" s="64"/>
      <c r="E47" s="84"/>
      <c r="F47" s="85">
        <f t="shared" si="0"/>
        <v>0</v>
      </c>
      <c r="G47" s="86"/>
    </row>
    <row r="48" spans="2:7" x14ac:dyDescent="0.3">
      <c r="B48" s="62"/>
      <c r="C48" s="63"/>
      <c r="D48" s="64"/>
      <c r="E48" s="84"/>
      <c r="F48" s="85">
        <f t="shared" si="0"/>
        <v>0</v>
      </c>
      <c r="G48" s="86"/>
    </row>
    <row r="49" spans="2:7" x14ac:dyDescent="0.3">
      <c r="B49" s="62"/>
      <c r="C49" s="63"/>
      <c r="D49" s="64"/>
      <c r="E49" s="84"/>
      <c r="F49" s="85">
        <f t="shared" si="0"/>
        <v>0</v>
      </c>
      <c r="G49" s="86"/>
    </row>
    <row r="50" spans="2:7" x14ac:dyDescent="0.3">
      <c r="B50" s="62"/>
      <c r="C50" s="63"/>
      <c r="D50" s="64"/>
      <c r="E50" s="84"/>
      <c r="F50" s="85">
        <f t="shared" si="0"/>
        <v>0</v>
      </c>
      <c r="G50" s="86"/>
    </row>
    <row r="51" spans="2:7" x14ac:dyDescent="0.3">
      <c r="B51" s="62"/>
      <c r="C51" s="63"/>
      <c r="D51" s="64"/>
      <c r="E51" s="84"/>
      <c r="F51" s="85">
        <f t="shared" si="0"/>
        <v>0</v>
      </c>
      <c r="G51" s="86"/>
    </row>
    <row r="52" spans="2:7" x14ac:dyDescent="0.3">
      <c r="B52" s="62"/>
      <c r="C52" s="63"/>
      <c r="D52" s="64"/>
      <c r="E52" s="84"/>
      <c r="F52" s="85">
        <f t="shared" si="0"/>
        <v>0</v>
      </c>
      <c r="G52" s="86"/>
    </row>
    <row r="53" spans="2:7" x14ac:dyDescent="0.3">
      <c r="B53" s="62"/>
      <c r="C53" s="63"/>
      <c r="D53" s="64"/>
      <c r="E53" s="84"/>
      <c r="F53" s="85">
        <f t="shared" si="0"/>
        <v>0</v>
      </c>
      <c r="G53" s="86"/>
    </row>
    <row r="54" spans="2:7" x14ac:dyDescent="0.3">
      <c r="B54" s="62"/>
      <c r="C54" s="63"/>
      <c r="D54" s="64"/>
      <c r="E54" s="84"/>
      <c r="F54" s="85">
        <f t="shared" si="0"/>
        <v>0</v>
      </c>
      <c r="G54" s="86"/>
    </row>
    <row r="55" spans="2:7" x14ac:dyDescent="0.3">
      <c r="B55" s="62"/>
      <c r="C55" s="63"/>
      <c r="D55" s="64"/>
      <c r="E55" s="84"/>
      <c r="F55" s="85">
        <f t="shared" si="0"/>
        <v>0</v>
      </c>
      <c r="G55" s="86"/>
    </row>
    <row r="56" spans="2:7" x14ac:dyDescent="0.3">
      <c r="B56" s="62"/>
      <c r="C56" s="63"/>
      <c r="D56" s="64"/>
      <c r="E56" s="84"/>
      <c r="F56" s="85">
        <f t="shared" si="0"/>
        <v>0</v>
      </c>
      <c r="G56" s="86"/>
    </row>
    <row r="57" spans="2:7" x14ac:dyDescent="0.3">
      <c r="B57" s="62"/>
      <c r="C57" s="63"/>
      <c r="D57" s="64"/>
      <c r="E57" s="84"/>
      <c r="F57" s="85">
        <f t="shared" si="0"/>
        <v>0</v>
      </c>
      <c r="G57" s="86"/>
    </row>
    <row r="58" spans="2:7" x14ac:dyDescent="0.3">
      <c r="B58" s="62"/>
      <c r="C58" s="63"/>
      <c r="D58" s="64"/>
      <c r="E58" s="84"/>
      <c r="F58" s="85">
        <f t="shared" si="0"/>
        <v>0</v>
      </c>
      <c r="G58" s="86"/>
    </row>
    <row r="59" spans="2:7" x14ac:dyDescent="0.3">
      <c r="B59" s="62"/>
      <c r="C59" s="63"/>
      <c r="D59" s="64"/>
      <c r="E59" s="84"/>
      <c r="F59" s="85">
        <f t="shared" si="0"/>
        <v>0</v>
      </c>
      <c r="G59" s="86"/>
    </row>
    <row r="60" spans="2:7" x14ac:dyDescent="0.3">
      <c r="B60" s="62"/>
      <c r="C60" s="63"/>
      <c r="D60" s="64"/>
      <c r="E60" s="84"/>
      <c r="F60" s="85">
        <f t="shared" si="0"/>
        <v>0</v>
      </c>
      <c r="G60" s="86"/>
    </row>
    <row r="61" spans="2:7" x14ac:dyDescent="0.3">
      <c r="B61" s="62"/>
      <c r="C61" s="63"/>
      <c r="D61" s="64"/>
      <c r="E61" s="84"/>
      <c r="F61" s="85">
        <f t="shared" si="0"/>
        <v>0</v>
      </c>
      <c r="G61" s="86"/>
    </row>
    <row r="62" spans="2:7" x14ac:dyDescent="0.3">
      <c r="B62" s="62"/>
      <c r="C62" s="63"/>
      <c r="D62" s="64"/>
      <c r="E62" s="84"/>
      <c r="F62" s="85">
        <f t="shared" si="0"/>
        <v>0</v>
      </c>
      <c r="G62" s="86"/>
    </row>
    <row r="63" spans="2:7" x14ac:dyDescent="0.3">
      <c r="B63" s="62"/>
      <c r="C63" s="63"/>
      <c r="D63" s="64"/>
      <c r="E63" s="84"/>
      <c r="F63" s="85">
        <f t="shared" si="0"/>
        <v>0</v>
      </c>
      <c r="G63" s="86"/>
    </row>
    <row r="64" spans="2:7" x14ac:dyDescent="0.3">
      <c r="B64" s="62"/>
      <c r="C64" s="63"/>
      <c r="D64" s="64"/>
      <c r="E64" s="84"/>
      <c r="F64" s="85">
        <f t="shared" si="0"/>
        <v>0</v>
      </c>
      <c r="G64" s="86"/>
    </row>
    <row r="65" spans="2:7" x14ac:dyDescent="0.3">
      <c r="B65" s="62"/>
      <c r="C65" s="63"/>
      <c r="D65" s="64"/>
      <c r="E65" s="84"/>
      <c r="F65" s="85">
        <f t="shared" si="0"/>
        <v>0</v>
      </c>
      <c r="G65" s="86"/>
    </row>
    <row r="66" spans="2:7" x14ac:dyDescent="0.3">
      <c r="B66" s="62"/>
      <c r="C66" s="63"/>
      <c r="D66" s="64"/>
      <c r="E66" s="84"/>
      <c r="F66" s="85">
        <f t="shared" si="0"/>
        <v>0</v>
      </c>
      <c r="G66" s="86"/>
    </row>
    <row r="67" spans="2:7" x14ac:dyDescent="0.3">
      <c r="B67" s="62"/>
      <c r="C67" s="63"/>
      <c r="D67" s="64"/>
      <c r="E67" s="84"/>
      <c r="F67" s="85">
        <f t="shared" si="0"/>
        <v>0</v>
      </c>
      <c r="G67" s="86"/>
    </row>
    <row r="68" spans="2:7" x14ac:dyDescent="0.3">
      <c r="B68" s="62"/>
      <c r="C68" s="63"/>
      <c r="D68" s="64"/>
      <c r="E68" s="84"/>
      <c r="F68" s="85">
        <f t="shared" si="0"/>
        <v>0</v>
      </c>
      <c r="G68" s="86"/>
    </row>
    <row r="69" spans="2:7" x14ac:dyDescent="0.3">
      <c r="B69" s="62"/>
      <c r="C69" s="63"/>
      <c r="D69" s="64"/>
      <c r="E69" s="84"/>
      <c r="F69" s="85">
        <f t="shared" si="0"/>
        <v>0</v>
      </c>
      <c r="G69" s="86"/>
    </row>
    <row r="70" spans="2:7" x14ac:dyDescent="0.3">
      <c r="B70" s="62"/>
      <c r="C70" s="63"/>
      <c r="D70" s="64"/>
      <c r="E70" s="84"/>
      <c r="F70" s="85">
        <f t="shared" si="0"/>
        <v>0</v>
      </c>
      <c r="G70" s="86"/>
    </row>
    <row r="71" spans="2:7" x14ac:dyDescent="0.3">
      <c r="B71" s="62"/>
      <c r="C71" s="63"/>
      <c r="D71" s="64"/>
      <c r="E71" s="84"/>
      <c r="F71" s="85">
        <f t="shared" si="0"/>
        <v>0</v>
      </c>
      <c r="G71" s="86"/>
    </row>
    <row r="72" spans="2:7" x14ac:dyDescent="0.3">
      <c r="B72" s="62"/>
      <c r="C72" s="63"/>
      <c r="D72" s="64"/>
      <c r="E72" s="84"/>
      <c r="F72" s="85">
        <f t="shared" si="0"/>
        <v>0</v>
      </c>
      <c r="G72" s="86"/>
    </row>
    <row r="73" spans="2:7" x14ac:dyDescent="0.3">
      <c r="B73" s="62"/>
      <c r="C73" s="63"/>
      <c r="D73" s="64"/>
      <c r="E73" s="84"/>
      <c r="F73" s="85">
        <f t="shared" si="0"/>
        <v>0</v>
      </c>
      <c r="G73" s="86"/>
    </row>
    <row r="74" spans="2:7" x14ac:dyDescent="0.3">
      <c r="B74" s="62"/>
      <c r="C74" s="63"/>
      <c r="D74" s="64"/>
      <c r="E74" s="84"/>
      <c r="F74" s="85">
        <f t="shared" ref="F74:F137" si="1">C74*E74</f>
        <v>0</v>
      </c>
      <c r="G74" s="86"/>
    </row>
    <row r="75" spans="2:7" x14ac:dyDescent="0.3">
      <c r="B75" s="62"/>
      <c r="C75" s="63"/>
      <c r="D75" s="64"/>
      <c r="E75" s="84"/>
      <c r="F75" s="85">
        <f t="shared" si="1"/>
        <v>0</v>
      </c>
      <c r="G75" s="86"/>
    </row>
    <row r="76" spans="2:7" x14ac:dyDescent="0.3">
      <c r="B76" s="62"/>
      <c r="C76" s="63"/>
      <c r="D76" s="64"/>
      <c r="E76" s="84"/>
      <c r="F76" s="85">
        <f t="shared" si="1"/>
        <v>0</v>
      </c>
      <c r="G76" s="86"/>
    </row>
    <row r="77" spans="2:7" x14ac:dyDescent="0.3">
      <c r="B77" s="62"/>
      <c r="C77" s="63"/>
      <c r="D77" s="64"/>
      <c r="E77" s="84"/>
      <c r="F77" s="85">
        <f t="shared" si="1"/>
        <v>0</v>
      </c>
      <c r="G77" s="86"/>
    </row>
    <row r="78" spans="2:7" x14ac:dyDescent="0.3">
      <c r="B78" s="62"/>
      <c r="C78" s="63"/>
      <c r="D78" s="64"/>
      <c r="E78" s="84"/>
      <c r="F78" s="85">
        <f t="shared" si="1"/>
        <v>0</v>
      </c>
      <c r="G78" s="86"/>
    </row>
    <row r="79" spans="2:7" x14ac:dyDescent="0.3">
      <c r="B79" s="62"/>
      <c r="C79" s="63"/>
      <c r="D79" s="64"/>
      <c r="E79" s="84"/>
      <c r="F79" s="85">
        <f t="shared" si="1"/>
        <v>0</v>
      </c>
      <c r="G79" s="86"/>
    </row>
    <row r="80" spans="2:7" x14ac:dyDescent="0.3">
      <c r="B80" s="62"/>
      <c r="C80" s="63"/>
      <c r="D80" s="64"/>
      <c r="E80" s="84"/>
      <c r="F80" s="85">
        <f t="shared" si="1"/>
        <v>0</v>
      </c>
      <c r="G80" s="86"/>
    </row>
    <row r="81" spans="2:7" x14ac:dyDescent="0.3">
      <c r="B81" s="62"/>
      <c r="C81" s="63"/>
      <c r="D81" s="64"/>
      <c r="E81" s="84"/>
      <c r="F81" s="85">
        <f t="shared" si="1"/>
        <v>0</v>
      </c>
      <c r="G81" s="86"/>
    </row>
    <row r="82" spans="2:7" x14ac:dyDescent="0.3">
      <c r="B82" s="62"/>
      <c r="C82" s="63"/>
      <c r="D82" s="64"/>
      <c r="E82" s="84"/>
      <c r="F82" s="85">
        <f t="shared" si="1"/>
        <v>0</v>
      </c>
      <c r="G82" s="86"/>
    </row>
    <row r="83" spans="2:7" x14ac:dyDescent="0.3">
      <c r="B83" s="62"/>
      <c r="C83" s="63"/>
      <c r="D83" s="64"/>
      <c r="E83" s="84"/>
      <c r="F83" s="85">
        <f t="shared" si="1"/>
        <v>0</v>
      </c>
      <c r="G83" s="86"/>
    </row>
    <row r="84" spans="2:7" x14ac:dyDescent="0.3">
      <c r="B84" s="62"/>
      <c r="C84" s="63"/>
      <c r="D84" s="64"/>
      <c r="E84" s="84"/>
      <c r="F84" s="85">
        <f t="shared" si="1"/>
        <v>0</v>
      </c>
      <c r="G84" s="86"/>
    </row>
    <row r="85" spans="2:7" x14ac:dyDescent="0.3">
      <c r="B85" s="62"/>
      <c r="C85" s="63"/>
      <c r="D85" s="64"/>
      <c r="E85" s="84"/>
      <c r="F85" s="85">
        <f t="shared" si="1"/>
        <v>0</v>
      </c>
      <c r="G85" s="86"/>
    </row>
    <row r="86" spans="2:7" x14ac:dyDescent="0.3">
      <c r="B86" s="62"/>
      <c r="C86" s="63"/>
      <c r="D86" s="64"/>
      <c r="E86" s="84"/>
      <c r="F86" s="85">
        <f t="shared" si="1"/>
        <v>0</v>
      </c>
      <c r="G86" s="86"/>
    </row>
    <row r="87" spans="2:7" x14ac:dyDescent="0.3">
      <c r="B87" s="62"/>
      <c r="C87" s="63"/>
      <c r="D87" s="64"/>
      <c r="E87" s="84"/>
      <c r="F87" s="85">
        <f t="shared" si="1"/>
        <v>0</v>
      </c>
      <c r="G87" s="86"/>
    </row>
    <row r="88" spans="2:7" x14ac:dyDescent="0.3">
      <c r="B88" s="62"/>
      <c r="C88" s="63"/>
      <c r="D88" s="64"/>
      <c r="E88" s="84"/>
      <c r="F88" s="85">
        <f t="shared" si="1"/>
        <v>0</v>
      </c>
      <c r="G88" s="86"/>
    </row>
    <row r="89" spans="2:7" x14ac:dyDescent="0.3">
      <c r="B89" s="62"/>
      <c r="C89" s="63"/>
      <c r="D89" s="64"/>
      <c r="E89" s="84"/>
      <c r="F89" s="85">
        <f t="shared" si="1"/>
        <v>0</v>
      </c>
      <c r="G89" s="86"/>
    </row>
    <row r="90" spans="2:7" x14ac:dyDescent="0.3">
      <c r="B90" s="62"/>
      <c r="C90" s="63"/>
      <c r="D90" s="64"/>
      <c r="E90" s="84"/>
      <c r="F90" s="85">
        <f t="shared" si="1"/>
        <v>0</v>
      </c>
      <c r="G90" s="86"/>
    </row>
    <row r="91" spans="2:7" x14ac:dyDescent="0.3">
      <c r="B91" s="62"/>
      <c r="C91" s="63"/>
      <c r="D91" s="64"/>
      <c r="E91" s="84"/>
      <c r="F91" s="85">
        <f t="shared" si="1"/>
        <v>0</v>
      </c>
      <c r="G91" s="86"/>
    </row>
    <row r="92" spans="2:7" x14ac:dyDescent="0.3">
      <c r="B92" s="62"/>
      <c r="C92" s="63"/>
      <c r="D92" s="64"/>
      <c r="E92" s="84"/>
      <c r="F92" s="85">
        <f t="shared" si="1"/>
        <v>0</v>
      </c>
      <c r="G92" s="86"/>
    </row>
    <row r="93" spans="2:7" x14ac:dyDescent="0.3">
      <c r="B93" s="62"/>
      <c r="C93" s="63"/>
      <c r="D93" s="64"/>
      <c r="E93" s="84"/>
      <c r="F93" s="85">
        <f t="shared" si="1"/>
        <v>0</v>
      </c>
      <c r="G93" s="86"/>
    </row>
    <row r="94" spans="2:7" x14ac:dyDescent="0.3">
      <c r="B94" s="62"/>
      <c r="C94" s="63"/>
      <c r="D94" s="64"/>
      <c r="E94" s="84"/>
      <c r="F94" s="85">
        <f t="shared" si="1"/>
        <v>0</v>
      </c>
      <c r="G94" s="86"/>
    </row>
    <row r="95" spans="2:7" x14ac:dyDescent="0.3">
      <c r="B95" s="62"/>
      <c r="C95" s="63"/>
      <c r="D95" s="64"/>
      <c r="E95" s="84"/>
      <c r="F95" s="85">
        <f t="shared" si="1"/>
        <v>0</v>
      </c>
      <c r="G95" s="86"/>
    </row>
    <row r="96" spans="2:7" x14ac:dyDescent="0.3">
      <c r="B96" s="62"/>
      <c r="C96" s="63"/>
      <c r="D96" s="64"/>
      <c r="E96" s="84"/>
      <c r="F96" s="85">
        <f t="shared" si="1"/>
        <v>0</v>
      </c>
      <c r="G96" s="86"/>
    </row>
    <row r="97" spans="2:7" x14ac:dyDescent="0.3">
      <c r="B97" s="62"/>
      <c r="C97" s="63"/>
      <c r="D97" s="64"/>
      <c r="E97" s="84"/>
      <c r="F97" s="85">
        <f t="shared" si="1"/>
        <v>0</v>
      </c>
      <c r="G97" s="86"/>
    </row>
    <row r="98" spans="2:7" x14ac:dyDescent="0.3">
      <c r="B98" s="62"/>
      <c r="C98" s="63"/>
      <c r="D98" s="64"/>
      <c r="E98" s="84"/>
      <c r="F98" s="85">
        <f t="shared" si="1"/>
        <v>0</v>
      </c>
      <c r="G98" s="86"/>
    </row>
    <row r="99" spans="2:7" x14ac:dyDescent="0.3">
      <c r="B99" s="62"/>
      <c r="C99" s="63"/>
      <c r="D99" s="64"/>
      <c r="E99" s="84"/>
      <c r="F99" s="85">
        <f t="shared" si="1"/>
        <v>0</v>
      </c>
      <c r="G99" s="86"/>
    </row>
    <row r="100" spans="2:7" x14ac:dyDescent="0.3">
      <c r="B100" s="62"/>
      <c r="C100" s="63"/>
      <c r="D100" s="64"/>
      <c r="E100" s="84"/>
      <c r="F100" s="85">
        <f t="shared" si="1"/>
        <v>0</v>
      </c>
      <c r="G100" s="86"/>
    </row>
    <row r="101" spans="2:7" x14ac:dyDescent="0.3">
      <c r="B101" s="62"/>
      <c r="C101" s="63"/>
      <c r="D101" s="64"/>
      <c r="E101" s="84"/>
      <c r="F101" s="85">
        <f t="shared" si="1"/>
        <v>0</v>
      </c>
      <c r="G101" s="86"/>
    </row>
    <row r="102" spans="2:7" x14ac:dyDescent="0.3">
      <c r="B102" s="62"/>
      <c r="C102" s="63"/>
      <c r="D102" s="64"/>
      <c r="E102" s="84"/>
      <c r="F102" s="85">
        <f t="shared" si="1"/>
        <v>0</v>
      </c>
      <c r="G102" s="86"/>
    </row>
    <row r="103" spans="2:7" x14ac:dyDescent="0.3">
      <c r="B103" s="62"/>
      <c r="C103" s="63"/>
      <c r="D103" s="64"/>
      <c r="E103" s="84"/>
      <c r="F103" s="85">
        <f t="shared" si="1"/>
        <v>0</v>
      </c>
      <c r="G103" s="86"/>
    </row>
    <row r="104" spans="2:7" x14ac:dyDescent="0.3">
      <c r="B104" s="62"/>
      <c r="C104" s="63"/>
      <c r="D104" s="64"/>
      <c r="E104" s="84"/>
      <c r="F104" s="85">
        <f t="shared" si="1"/>
        <v>0</v>
      </c>
      <c r="G104" s="86"/>
    </row>
    <row r="105" spans="2:7" x14ac:dyDescent="0.3">
      <c r="B105" s="62"/>
      <c r="C105" s="63"/>
      <c r="D105" s="64"/>
      <c r="E105" s="84"/>
      <c r="F105" s="85">
        <f t="shared" si="1"/>
        <v>0</v>
      </c>
      <c r="G105" s="86"/>
    </row>
    <row r="106" spans="2:7" x14ac:dyDescent="0.3">
      <c r="B106" s="62"/>
      <c r="C106" s="63"/>
      <c r="D106" s="64"/>
      <c r="E106" s="84"/>
      <c r="F106" s="85">
        <f t="shared" si="1"/>
        <v>0</v>
      </c>
      <c r="G106" s="86"/>
    </row>
    <row r="107" spans="2:7" x14ac:dyDescent="0.3">
      <c r="B107" s="62"/>
      <c r="C107" s="63"/>
      <c r="D107" s="64"/>
      <c r="E107" s="84"/>
      <c r="F107" s="85">
        <f t="shared" si="1"/>
        <v>0</v>
      </c>
      <c r="G107" s="86"/>
    </row>
    <row r="108" spans="2:7" x14ac:dyDescent="0.3">
      <c r="B108" s="62"/>
      <c r="C108" s="63"/>
      <c r="D108" s="64"/>
      <c r="E108" s="84"/>
      <c r="F108" s="85">
        <f t="shared" si="1"/>
        <v>0</v>
      </c>
      <c r="G108" s="86"/>
    </row>
    <row r="109" spans="2:7" x14ac:dyDescent="0.3">
      <c r="B109" s="62"/>
      <c r="C109" s="63"/>
      <c r="D109" s="64"/>
      <c r="E109" s="84"/>
      <c r="F109" s="85">
        <f t="shared" si="1"/>
        <v>0</v>
      </c>
      <c r="G109" s="86"/>
    </row>
    <row r="110" spans="2:7" x14ac:dyDescent="0.3">
      <c r="B110" s="62"/>
      <c r="C110" s="63"/>
      <c r="D110" s="64"/>
      <c r="E110" s="84"/>
      <c r="F110" s="85">
        <f t="shared" si="1"/>
        <v>0</v>
      </c>
      <c r="G110" s="86"/>
    </row>
    <row r="111" spans="2:7" x14ac:dyDescent="0.3">
      <c r="B111" s="62"/>
      <c r="C111" s="63"/>
      <c r="D111" s="64"/>
      <c r="E111" s="84"/>
      <c r="F111" s="85">
        <f t="shared" si="1"/>
        <v>0</v>
      </c>
      <c r="G111" s="86"/>
    </row>
    <row r="112" spans="2:7" x14ac:dyDescent="0.3">
      <c r="B112" s="62"/>
      <c r="C112" s="63"/>
      <c r="D112" s="64"/>
      <c r="E112" s="84"/>
      <c r="F112" s="85">
        <f t="shared" si="1"/>
        <v>0</v>
      </c>
      <c r="G112" s="86"/>
    </row>
    <row r="113" spans="2:7" x14ac:dyDescent="0.3">
      <c r="B113" s="62"/>
      <c r="C113" s="63"/>
      <c r="D113" s="64"/>
      <c r="E113" s="84"/>
      <c r="F113" s="85">
        <f t="shared" si="1"/>
        <v>0</v>
      </c>
      <c r="G113" s="86"/>
    </row>
    <row r="114" spans="2:7" x14ac:dyDescent="0.3">
      <c r="B114" s="62"/>
      <c r="C114" s="63"/>
      <c r="D114" s="64"/>
      <c r="E114" s="84"/>
      <c r="F114" s="85">
        <f t="shared" si="1"/>
        <v>0</v>
      </c>
      <c r="G114" s="86"/>
    </row>
    <row r="115" spans="2:7" x14ac:dyDescent="0.3">
      <c r="B115" s="62"/>
      <c r="C115" s="63"/>
      <c r="D115" s="64"/>
      <c r="E115" s="84"/>
      <c r="F115" s="85">
        <f t="shared" si="1"/>
        <v>0</v>
      </c>
      <c r="G115" s="86"/>
    </row>
    <row r="116" spans="2:7" x14ac:dyDescent="0.3">
      <c r="B116" s="62"/>
      <c r="C116" s="63"/>
      <c r="D116" s="64"/>
      <c r="E116" s="84"/>
      <c r="F116" s="85">
        <f t="shared" si="1"/>
        <v>0</v>
      </c>
      <c r="G116" s="86"/>
    </row>
    <row r="117" spans="2:7" x14ac:dyDescent="0.3">
      <c r="B117" s="62"/>
      <c r="C117" s="63"/>
      <c r="D117" s="64"/>
      <c r="E117" s="84"/>
      <c r="F117" s="85">
        <f t="shared" si="1"/>
        <v>0</v>
      </c>
      <c r="G117" s="86"/>
    </row>
    <row r="118" spans="2:7" x14ac:dyDescent="0.3">
      <c r="B118" s="62"/>
      <c r="C118" s="63"/>
      <c r="D118" s="64"/>
      <c r="E118" s="84"/>
      <c r="F118" s="85">
        <f t="shared" si="1"/>
        <v>0</v>
      </c>
      <c r="G118" s="86"/>
    </row>
    <row r="119" spans="2:7" x14ac:dyDescent="0.3">
      <c r="B119" s="62"/>
      <c r="C119" s="63"/>
      <c r="D119" s="64"/>
      <c r="E119" s="84"/>
      <c r="F119" s="85">
        <f t="shared" si="1"/>
        <v>0</v>
      </c>
      <c r="G119" s="86"/>
    </row>
    <row r="120" spans="2:7" x14ac:dyDescent="0.3">
      <c r="B120" s="62"/>
      <c r="C120" s="63"/>
      <c r="D120" s="64"/>
      <c r="E120" s="84"/>
      <c r="F120" s="85">
        <f t="shared" si="1"/>
        <v>0</v>
      </c>
      <c r="G120" s="86"/>
    </row>
    <row r="121" spans="2:7" x14ac:dyDescent="0.3">
      <c r="B121" s="62"/>
      <c r="C121" s="63"/>
      <c r="D121" s="64"/>
      <c r="E121" s="84"/>
      <c r="F121" s="85">
        <f t="shared" si="1"/>
        <v>0</v>
      </c>
      <c r="G121" s="86"/>
    </row>
    <row r="122" spans="2:7" x14ac:dyDescent="0.3">
      <c r="B122" s="62"/>
      <c r="C122" s="63"/>
      <c r="D122" s="64"/>
      <c r="E122" s="84"/>
      <c r="F122" s="85">
        <f t="shared" si="1"/>
        <v>0</v>
      </c>
      <c r="G122" s="86"/>
    </row>
    <row r="123" spans="2:7" x14ac:dyDescent="0.3">
      <c r="B123" s="62"/>
      <c r="C123" s="63"/>
      <c r="D123" s="64"/>
      <c r="E123" s="84"/>
      <c r="F123" s="85">
        <f t="shared" si="1"/>
        <v>0</v>
      </c>
      <c r="G123" s="86"/>
    </row>
    <row r="124" spans="2:7" x14ac:dyDescent="0.3">
      <c r="B124" s="62"/>
      <c r="C124" s="63"/>
      <c r="D124" s="64"/>
      <c r="E124" s="84"/>
      <c r="F124" s="85">
        <f t="shared" si="1"/>
        <v>0</v>
      </c>
      <c r="G124" s="86"/>
    </row>
    <row r="125" spans="2:7" x14ac:dyDescent="0.3">
      <c r="B125" s="62"/>
      <c r="C125" s="63"/>
      <c r="D125" s="64"/>
      <c r="E125" s="84"/>
      <c r="F125" s="85">
        <f t="shared" si="1"/>
        <v>0</v>
      </c>
      <c r="G125" s="86"/>
    </row>
    <row r="126" spans="2:7" x14ac:dyDescent="0.3">
      <c r="B126" s="62"/>
      <c r="C126" s="63"/>
      <c r="D126" s="64"/>
      <c r="E126" s="84"/>
      <c r="F126" s="85">
        <f t="shared" si="1"/>
        <v>0</v>
      </c>
      <c r="G126" s="86"/>
    </row>
    <row r="127" spans="2:7" x14ac:dyDescent="0.3">
      <c r="B127" s="62"/>
      <c r="C127" s="63"/>
      <c r="D127" s="64"/>
      <c r="E127" s="84"/>
      <c r="F127" s="85">
        <f t="shared" si="1"/>
        <v>0</v>
      </c>
      <c r="G127" s="86"/>
    </row>
    <row r="128" spans="2:7" x14ac:dyDescent="0.3">
      <c r="B128" s="62"/>
      <c r="C128" s="63"/>
      <c r="D128" s="64"/>
      <c r="E128" s="84"/>
      <c r="F128" s="85">
        <f t="shared" si="1"/>
        <v>0</v>
      </c>
      <c r="G128" s="86"/>
    </row>
    <row r="129" spans="2:7" x14ac:dyDescent="0.3">
      <c r="B129" s="62"/>
      <c r="C129" s="63"/>
      <c r="D129" s="64"/>
      <c r="E129" s="84"/>
      <c r="F129" s="85">
        <f t="shared" si="1"/>
        <v>0</v>
      </c>
      <c r="G129" s="86"/>
    </row>
    <row r="130" spans="2:7" x14ac:dyDescent="0.3">
      <c r="B130" s="62"/>
      <c r="C130" s="63"/>
      <c r="D130" s="64"/>
      <c r="E130" s="84"/>
      <c r="F130" s="85">
        <f t="shared" si="1"/>
        <v>0</v>
      </c>
      <c r="G130" s="86"/>
    </row>
    <row r="131" spans="2:7" x14ac:dyDescent="0.3">
      <c r="B131" s="62"/>
      <c r="C131" s="63"/>
      <c r="D131" s="64"/>
      <c r="E131" s="84"/>
      <c r="F131" s="85">
        <f t="shared" si="1"/>
        <v>0</v>
      </c>
      <c r="G131" s="86"/>
    </row>
    <row r="132" spans="2:7" x14ac:dyDescent="0.3">
      <c r="B132" s="62"/>
      <c r="C132" s="63"/>
      <c r="D132" s="64"/>
      <c r="E132" s="84"/>
      <c r="F132" s="85">
        <f t="shared" si="1"/>
        <v>0</v>
      </c>
      <c r="G132" s="86"/>
    </row>
    <row r="133" spans="2:7" x14ac:dyDescent="0.3">
      <c r="B133" s="62"/>
      <c r="C133" s="63"/>
      <c r="D133" s="64"/>
      <c r="E133" s="84"/>
      <c r="F133" s="85">
        <f t="shared" si="1"/>
        <v>0</v>
      </c>
      <c r="G133" s="86"/>
    </row>
    <row r="134" spans="2:7" x14ac:dyDescent="0.3">
      <c r="B134" s="62"/>
      <c r="C134" s="63"/>
      <c r="D134" s="64"/>
      <c r="E134" s="84"/>
      <c r="F134" s="85">
        <f t="shared" si="1"/>
        <v>0</v>
      </c>
      <c r="G134" s="86"/>
    </row>
    <row r="135" spans="2:7" x14ac:dyDescent="0.3">
      <c r="B135" s="62"/>
      <c r="C135" s="63"/>
      <c r="D135" s="64"/>
      <c r="E135" s="84"/>
      <c r="F135" s="85">
        <f t="shared" si="1"/>
        <v>0</v>
      </c>
      <c r="G135" s="86"/>
    </row>
    <row r="136" spans="2:7" x14ac:dyDescent="0.3">
      <c r="B136" s="62"/>
      <c r="C136" s="63"/>
      <c r="D136" s="64"/>
      <c r="E136" s="84"/>
      <c r="F136" s="85">
        <f t="shared" si="1"/>
        <v>0</v>
      </c>
      <c r="G136" s="86"/>
    </row>
    <row r="137" spans="2:7" x14ac:dyDescent="0.3">
      <c r="B137" s="62"/>
      <c r="C137" s="63"/>
      <c r="D137" s="64"/>
      <c r="E137" s="84"/>
      <c r="F137" s="85">
        <f t="shared" si="1"/>
        <v>0</v>
      </c>
      <c r="G137" s="86"/>
    </row>
    <row r="138" spans="2:7" x14ac:dyDescent="0.3">
      <c r="B138" s="62"/>
      <c r="C138" s="63"/>
      <c r="D138" s="64"/>
      <c r="E138" s="84"/>
      <c r="F138" s="85">
        <f t="shared" ref="F138:F194" si="2">C138*E138</f>
        <v>0</v>
      </c>
      <c r="G138" s="86"/>
    </row>
    <row r="139" spans="2:7" x14ac:dyDescent="0.3">
      <c r="B139" s="62"/>
      <c r="C139" s="63"/>
      <c r="D139" s="64"/>
      <c r="E139" s="84"/>
      <c r="F139" s="85">
        <f t="shared" si="2"/>
        <v>0</v>
      </c>
      <c r="G139" s="86"/>
    </row>
    <row r="140" spans="2:7" x14ac:dyDescent="0.3">
      <c r="B140" s="62"/>
      <c r="C140" s="63"/>
      <c r="D140" s="64"/>
      <c r="E140" s="84"/>
      <c r="F140" s="85">
        <f t="shared" si="2"/>
        <v>0</v>
      </c>
      <c r="G140" s="86"/>
    </row>
    <row r="141" spans="2:7" x14ac:dyDescent="0.3">
      <c r="B141" s="62"/>
      <c r="C141" s="63"/>
      <c r="D141" s="64"/>
      <c r="E141" s="84"/>
      <c r="F141" s="85">
        <f t="shared" si="2"/>
        <v>0</v>
      </c>
      <c r="G141" s="86"/>
    </row>
    <row r="142" spans="2:7" x14ac:dyDescent="0.3">
      <c r="B142" s="62"/>
      <c r="C142" s="63"/>
      <c r="D142" s="64"/>
      <c r="E142" s="84"/>
      <c r="F142" s="85">
        <f t="shared" si="2"/>
        <v>0</v>
      </c>
      <c r="G142" s="86"/>
    </row>
    <row r="143" spans="2:7" x14ac:dyDescent="0.3">
      <c r="B143" s="62"/>
      <c r="C143" s="63"/>
      <c r="D143" s="64"/>
      <c r="E143" s="84"/>
      <c r="F143" s="85">
        <f t="shared" si="2"/>
        <v>0</v>
      </c>
      <c r="G143" s="86"/>
    </row>
    <row r="144" spans="2:7" x14ac:dyDescent="0.3">
      <c r="B144" s="62"/>
      <c r="C144" s="63"/>
      <c r="D144" s="64"/>
      <c r="E144" s="84"/>
      <c r="F144" s="85">
        <f t="shared" si="2"/>
        <v>0</v>
      </c>
      <c r="G144" s="86"/>
    </row>
    <row r="145" spans="2:7" x14ac:dyDescent="0.3">
      <c r="B145" s="62"/>
      <c r="C145" s="63"/>
      <c r="D145" s="64"/>
      <c r="E145" s="84"/>
      <c r="F145" s="85">
        <f t="shared" si="2"/>
        <v>0</v>
      </c>
      <c r="G145" s="86"/>
    </row>
    <row r="146" spans="2:7" x14ac:dyDescent="0.3">
      <c r="B146" s="62"/>
      <c r="C146" s="63"/>
      <c r="D146" s="64"/>
      <c r="E146" s="84"/>
      <c r="F146" s="85">
        <f t="shared" si="2"/>
        <v>0</v>
      </c>
      <c r="G146" s="86"/>
    </row>
    <row r="147" spans="2:7" x14ac:dyDescent="0.3">
      <c r="B147" s="62"/>
      <c r="C147" s="63"/>
      <c r="D147" s="64"/>
      <c r="E147" s="84"/>
      <c r="F147" s="85">
        <f t="shared" si="2"/>
        <v>0</v>
      </c>
      <c r="G147" s="86"/>
    </row>
    <row r="148" spans="2:7" x14ac:dyDescent="0.3">
      <c r="B148" s="62"/>
      <c r="C148" s="63"/>
      <c r="D148" s="64"/>
      <c r="E148" s="84"/>
      <c r="F148" s="85">
        <f t="shared" si="2"/>
        <v>0</v>
      </c>
      <c r="G148" s="86"/>
    </row>
    <row r="149" spans="2:7" x14ac:dyDescent="0.3">
      <c r="B149" s="62"/>
      <c r="C149" s="63"/>
      <c r="D149" s="64"/>
      <c r="E149" s="84"/>
      <c r="F149" s="85">
        <f t="shared" si="2"/>
        <v>0</v>
      </c>
      <c r="G149" s="86"/>
    </row>
    <row r="150" spans="2:7" x14ac:dyDescent="0.3">
      <c r="B150" s="62"/>
      <c r="C150" s="63"/>
      <c r="D150" s="64"/>
      <c r="E150" s="84"/>
      <c r="F150" s="85">
        <f t="shared" si="2"/>
        <v>0</v>
      </c>
      <c r="G150" s="86"/>
    </row>
    <row r="151" spans="2:7" x14ac:dyDescent="0.3">
      <c r="B151" s="62"/>
      <c r="C151" s="63"/>
      <c r="D151" s="64"/>
      <c r="E151" s="84"/>
      <c r="F151" s="85">
        <f t="shared" si="2"/>
        <v>0</v>
      </c>
      <c r="G151" s="86"/>
    </row>
    <row r="152" spans="2:7" x14ac:dyDescent="0.3">
      <c r="B152" s="62"/>
      <c r="C152" s="63"/>
      <c r="D152" s="64"/>
      <c r="E152" s="84"/>
      <c r="F152" s="85">
        <f t="shared" si="2"/>
        <v>0</v>
      </c>
      <c r="G152" s="86"/>
    </row>
    <row r="153" spans="2:7" x14ac:dyDescent="0.3">
      <c r="B153" s="62"/>
      <c r="C153" s="63"/>
      <c r="D153" s="64"/>
      <c r="E153" s="84"/>
      <c r="F153" s="85">
        <f t="shared" si="2"/>
        <v>0</v>
      </c>
      <c r="G153" s="86"/>
    </row>
    <row r="154" spans="2:7" x14ac:dyDescent="0.3">
      <c r="B154" s="62"/>
      <c r="C154" s="63"/>
      <c r="D154" s="64"/>
      <c r="E154" s="84"/>
      <c r="F154" s="85">
        <f t="shared" si="2"/>
        <v>0</v>
      </c>
      <c r="G154" s="86"/>
    </row>
    <row r="155" spans="2:7" x14ac:dyDescent="0.3">
      <c r="B155" s="62"/>
      <c r="C155" s="63"/>
      <c r="D155" s="64"/>
      <c r="E155" s="84"/>
      <c r="F155" s="85">
        <f t="shared" si="2"/>
        <v>0</v>
      </c>
      <c r="G155" s="86"/>
    </row>
    <row r="156" spans="2:7" x14ac:dyDescent="0.3">
      <c r="B156" s="62"/>
      <c r="C156" s="63"/>
      <c r="D156" s="64"/>
      <c r="E156" s="84"/>
      <c r="F156" s="85">
        <f t="shared" si="2"/>
        <v>0</v>
      </c>
      <c r="G156" s="86"/>
    </row>
    <row r="157" spans="2:7" x14ac:dyDescent="0.3">
      <c r="B157" s="62"/>
      <c r="C157" s="63"/>
      <c r="D157" s="64"/>
      <c r="E157" s="84"/>
      <c r="F157" s="85">
        <f t="shared" si="2"/>
        <v>0</v>
      </c>
      <c r="G157" s="86"/>
    </row>
    <row r="158" spans="2:7" x14ac:dyDescent="0.3">
      <c r="B158" s="62"/>
      <c r="C158" s="63"/>
      <c r="D158" s="64"/>
      <c r="E158" s="84"/>
      <c r="F158" s="85">
        <f t="shared" si="2"/>
        <v>0</v>
      </c>
      <c r="G158" s="86"/>
    </row>
    <row r="159" spans="2:7" x14ac:dyDescent="0.3">
      <c r="B159" s="62"/>
      <c r="C159" s="63"/>
      <c r="D159" s="64"/>
      <c r="E159" s="84"/>
      <c r="F159" s="85">
        <f t="shared" si="2"/>
        <v>0</v>
      </c>
      <c r="G159" s="86"/>
    </row>
    <row r="160" spans="2:7" x14ac:dyDescent="0.3">
      <c r="B160" s="62"/>
      <c r="C160" s="63"/>
      <c r="D160" s="64"/>
      <c r="E160" s="84"/>
      <c r="F160" s="85">
        <f t="shared" si="2"/>
        <v>0</v>
      </c>
      <c r="G160" s="86"/>
    </row>
    <row r="161" spans="2:7" x14ac:dyDescent="0.3">
      <c r="B161" s="62"/>
      <c r="C161" s="63"/>
      <c r="D161" s="64"/>
      <c r="E161" s="84"/>
      <c r="F161" s="85">
        <f t="shared" si="2"/>
        <v>0</v>
      </c>
      <c r="G161" s="86"/>
    </row>
    <row r="162" spans="2:7" x14ac:dyDescent="0.3">
      <c r="B162" s="62"/>
      <c r="C162" s="63"/>
      <c r="D162" s="64"/>
      <c r="E162" s="84"/>
      <c r="F162" s="85">
        <f t="shared" si="2"/>
        <v>0</v>
      </c>
      <c r="G162" s="86"/>
    </row>
    <row r="163" spans="2:7" x14ac:dyDescent="0.3">
      <c r="B163" s="62"/>
      <c r="C163" s="63"/>
      <c r="D163" s="64"/>
      <c r="E163" s="84"/>
      <c r="F163" s="85">
        <f t="shared" si="2"/>
        <v>0</v>
      </c>
      <c r="G163" s="86"/>
    </row>
    <row r="164" spans="2:7" x14ac:dyDescent="0.3">
      <c r="B164" s="62"/>
      <c r="C164" s="63"/>
      <c r="D164" s="64"/>
      <c r="E164" s="84"/>
      <c r="F164" s="85">
        <f t="shared" si="2"/>
        <v>0</v>
      </c>
      <c r="G164" s="86"/>
    </row>
    <row r="165" spans="2:7" x14ac:dyDescent="0.3">
      <c r="B165" s="62"/>
      <c r="C165" s="63"/>
      <c r="D165" s="64"/>
      <c r="E165" s="84"/>
      <c r="F165" s="85">
        <f t="shared" si="2"/>
        <v>0</v>
      </c>
      <c r="G165" s="86"/>
    </row>
    <row r="166" spans="2:7" x14ac:dyDescent="0.3">
      <c r="B166" s="62"/>
      <c r="C166" s="63"/>
      <c r="D166" s="64"/>
      <c r="E166" s="84"/>
      <c r="F166" s="85">
        <f t="shared" si="2"/>
        <v>0</v>
      </c>
      <c r="G166" s="86"/>
    </row>
    <row r="167" spans="2:7" x14ac:dyDescent="0.3">
      <c r="B167" s="62"/>
      <c r="C167" s="63"/>
      <c r="D167" s="64"/>
      <c r="E167" s="84"/>
      <c r="F167" s="85">
        <f t="shared" si="2"/>
        <v>0</v>
      </c>
      <c r="G167" s="86"/>
    </row>
    <row r="168" spans="2:7" x14ac:dyDescent="0.3">
      <c r="B168" s="62"/>
      <c r="C168" s="63"/>
      <c r="D168" s="64"/>
      <c r="E168" s="84"/>
      <c r="F168" s="85">
        <f t="shared" si="2"/>
        <v>0</v>
      </c>
      <c r="G168" s="86"/>
    </row>
    <row r="169" spans="2:7" x14ac:dyDescent="0.3">
      <c r="B169" s="62"/>
      <c r="C169" s="63"/>
      <c r="D169" s="64"/>
      <c r="E169" s="84"/>
      <c r="F169" s="85">
        <f t="shared" si="2"/>
        <v>0</v>
      </c>
      <c r="G169" s="86"/>
    </row>
    <row r="170" spans="2:7" x14ac:dyDescent="0.3">
      <c r="B170" s="62"/>
      <c r="C170" s="63"/>
      <c r="D170" s="64"/>
      <c r="E170" s="84"/>
      <c r="F170" s="85">
        <f t="shared" si="2"/>
        <v>0</v>
      </c>
      <c r="G170" s="86"/>
    </row>
    <row r="171" spans="2:7" x14ac:dyDescent="0.3">
      <c r="B171" s="62"/>
      <c r="C171" s="63"/>
      <c r="D171" s="64"/>
      <c r="E171" s="84"/>
      <c r="F171" s="85">
        <f t="shared" si="2"/>
        <v>0</v>
      </c>
      <c r="G171" s="86"/>
    </row>
    <row r="172" spans="2:7" x14ac:dyDescent="0.3">
      <c r="B172" s="62"/>
      <c r="C172" s="63"/>
      <c r="D172" s="64"/>
      <c r="E172" s="84"/>
      <c r="F172" s="85">
        <f t="shared" si="2"/>
        <v>0</v>
      </c>
      <c r="G172" s="86"/>
    </row>
    <row r="173" spans="2:7" x14ac:dyDescent="0.3">
      <c r="B173" s="62"/>
      <c r="C173" s="63"/>
      <c r="D173" s="64"/>
      <c r="E173" s="84"/>
      <c r="F173" s="85">
        <f t="shared" si="2"/>
        <v>0</v>
      </c>
      <c r="G173" s="86"/>
    </row>
    <row r="174" spans="2:7" x14ac:dyDescent="0.3">
      <c r="B174" s="62"/>
      <c r="C174" s="63"/>
      <c r="D174" s="64"/>
      <c r="E174" s="84"/>
      <c r="F174" s="85">
        <f t="shared" si="2"/>
        <v>0</v>
      </c>
      <c r="G174" s="86"/>
    </row>
    <row r="175" spans="2:7" x14ac:dyDescent="0.3">
      <c r="B175" s="62"/>
      <c r="C175" s="63"/>
      <c r="D175" s="64"/>
      <c r="E175" s="84"/>
      <c r="F175" s="85">
        <f t="shared" si="2"/>
        <v>0</v>
      </c>
      <c r="G175" s="86"/>
    </row>
    <row r="176" spans="2:7" x14ac:dyDescent="0.3">
      <c r="B176" s="62"/>
      <c r="C176" s="63"/>
      <c r="D176" s="64"/>
      <c r="E176" s="84"/>
      <c r="F176" s="85">
        <f t="shared" si="2"/>
        <v>0</v>
      </c>
      <c r="G176" s="86"/>
    </row>
    <row r="177" spans="2:7" x14ac:dyDescent="0.3">
      <c r="B177" s="62"/>
      <c r="C177" s="63"/>
      <c r="D177" s="64"/>
      <c r="E177" s="84"/>
      <c r="F177" s="85">
        <f t="shared" si="2"/>
        <v>0</v>
      </c>
      <c r="G177" s="86"/>
    </row>
    <row r="178" spans="2:7" x14ac:dyDescent="0.3">
      <c r="B178" s="62"/>
      <c r="C178" s="63"/>
      <c r="D178" s="64"/>
      <c r="E178" s="84"/>
      <c r="F178" s="85">
        <f t="shared" si="2"/>
        <v>0</v>
      </c>
      <c r="G178" s="86"/>
    </row>
    <row r="179" spans="2:7" x14ac:dyDescent="0.3">
      <c r="B179" s="62"/>
      <c r="C179" s="63"/>
      <c r="D179" s="64"/>
      <c r="E179" s="84"/>
      <c r="F179" s="85">
        <f t="shared" si="2"/>
        <v>0</v>
      </c>
      <c r="G179" s="86"/>
    </row>
    <row r="180" spans="2:7" x14ac:dyDescent="0.3">
      <c r="B180" s="62"/>
      <c r="C180" s="63"/>
      <c r="D180" s="64"/>
      <c r="E180" s="84"/>
      <c r="F180" s="85">
        <f t="shared" si="2"/>
        <v>0</v>
      </c>
      <c r="G180" s="86"/>
    </row>
    <row r="181" spans="2:7" x14ac:dyDescent="0.3">
      <c r="B181" s="62"/>
      <c r="C181" s="63"/>
      <c r="D181" s="64"/>
      <c r="E181" s="84"/>
      <c r="F181" s="85">
        <f t="shared" si="2"/>
        <v>0</v>
      </c>
      <c r="G181" s="86"/>
    </row>
    <row r="182" spans="2:7" x14ac:dyDescent="0.3">
      <c r="B182" s="62"/>
      <c r="C182" s="63"/>
      <c r="D182" s="64"/>
      <c r="E182" s="84"/>
      <c r="F182" s="85">
        <f t="shared" si="2"/>
        <v>0</v>
      </c>
      <c r="G182" s="86"/>
    </row>
    <row r="183" spans="2:7" x14ac:dyDescent="0.3">
      <c r="B183" s="62"/>
      <c r="C183" s="63"/>
      <c r="D183" s="64"/>
      <c r="E183" s="84"/>
      <c r="F183" s="85">
        <f t="shared" si="2"/>
        <v>0</v>
      </c>
      <c r="G183" s="86"/>
    </row>
    <row r="184" spans="2:7" x14ac:dyDescent="0.3">
      <c r="B184" s="62"/>
      <c r="C184" s="63"/>
      <c r="D184" s="64"/>
      <c r="E184" s="84"/>
      <c r="F184" s="85">
        <f t="shared" si="2"/>
        <v>0</v>
      </c>
      <c r="G184" s="86"/>
    </row>
    <row r="185" spans="2:7" x14ac:dyDescent="0.3">
      <c r="B185" s="62"/>
      <c r="C185" s="63"/>
      <c r="D185" s="64"/>
      <c r="E185" s="84"/>
      <c r="F185" s="85">
        <f t="shared" si="2"/>
        <v>0</v>
      </c>
      <c r="G185" s="86"/>
    </row>
    <row r="186" spans="2:7" x14ac:dyDescent="0.3">
      <c r="B186" s="62"/>
      <c r="C186" s="63"/>
      <c r="D186" s="64"/>
      <c r="E186" s="84"/>
      <c r="F186" s="85">
        <f t="shared" si="2"/>
        <v>0</v>
      </c>
      <c r="G186" s="86"/>
    </row>
    <row r="187" spans="2:7" x14ac:dyDescent="0.3">
      <c r="B187" s="62"/>
      <c r="C187" s="63"/>
      <c r="D187" s="64"/>
      <c r="E187" s="84"/>
      <c r="F187" s="85">
        <f t="shared" si="2"/>
        <v>0</v>
      </c>
      <c r="G187" s="86"/>
    </row>
    <row r="188" spans="2:7" x14ac:dyDescent="0.3">
      <c r="B188" s="62"/>
      <c r="C188" s="63"/>
      <c r="D188" s="64"/>
      <c r="E188" s="84"/>
      <c r="F188" s="85">
        <f t="shared" si="2"/>
        <v>0</v>
      </c>
      <c r="G188" s="86"/>
    </row>
    <row r="189" spans="2:7" x14ac:dyDescent="0.3">
      <c r="B189" s="62"/>
      <c r="C189" s="63"/>
      <c r="D189" s="64"/>
      <c r="E189" s="84"/>
      <c r="F189" s="85">
        <f t="shared" si="2"/>
        <v>0</v>
      </c>
      <c r="G189" s="86"/>
    </row>
    <row r="190" spans="2:7" x14ac:dyDescent="0.3">
      <c r="B190" s="62"/>
      <c r="C190" s="63"/>
      <c r="D190" s="64"/>
      <c r="E190" s="84"/>
      <c r="F190" s="85">
        <f t="shared" si="2"/>
        <v>0</v>
      </c>
      <c r="G190" s="86"/>
    </row>
    <row r="191" spans="2:7" x14ac:dyDescent="0.3">
      <c r="B191" s="62"/>
      <c r="C191" s="63"/>
      <c r="D191" s="64"/>
      <c r="E191" s="84"/>
      <c r="F191" s="85">
        <f t="shared" si="2"/>
        <v>0</v>
      </c>
      <c r="G191" s="86"/>
    </row>
    <row r="192" spans="2:7" x14ac:dyDescent="0.3">
      <c r="B192" s="62"/>
      <c r="C192" s="63"/>
      <c r="D192" s="64"/>
      <c r="E192" s="84"/>
      <c r="F192" s="85">
        <f t="shared" si="2"/>
        <v>0</v>
      </c>
      <c r="G192" s="86"/>
    </row>
    <row r="193" spans="2:14" x14ac:dyDescent="0.3">
      <c r="B193" s="62"/>
      <c r="C193" s="62"/>
      <c r="D193" s="65"/>
      <c r="E193" s="86"/>
      <c r="F193" s="85">
        <f t="shared" si="2"/>
        <v>0</v>
      </c>
      <c r="G193" s="86"/>
    </row>
    <row r="194" spans="2:14" x14ac:dyDescent="0.3">
      <c r="B194" s="62"/>
      <c r="C194" s="62"/>
      <c r="D194" s="65"/>
      <c r="E194" s="86"/>
      <c r="F194" s="85">
        <f t="shared" si="2"/>
        <v>0</v>
      </c>
      <c r="G194" s="86"/>
    </row>
    <row r="196" spans="2:14" ht="15" thickBot="1" x14ac:dyDescent="0.35"/>
    <row r="197" spans="2:14" ht="15" thickBot="1" x14ac:dyDescent="0.35">
      <c r="B197" s="67">
        <f>SUM(B8:B195)</f>
        <v>0</v>
      </c>
      <c r="D197" s="13" t="s">
        <v>29</v>
      </c>
      <c r="E197" s="14"/>
      <c r="F197" s="15">
        <f>SUM(F8:F195)</f>
        <v>0</v>
      </c>
      <c r="I197" s="16"/>
      <c r="J197" s="16"/>
      <c r="K197" s="16"/>
      <c r="L197" s="16"/>
      <c r="M197" s="16"/>
      <c r="N197" s="16"/>
    </row>
    <row r="198" spans="2:14" ht="15" thickBot="1" x14ac:dyDescent="0.35">
      <c r="D198" s="13" t="s">
        <v>30</v>
      </c>
      <c r="E198" s="290"/>
      <c r="F198" s="291"/>
      <c r="G198" s="15">
        <f>SUM(G8:G195)</f>
        <v>0</v>
      </c>
      <c r="I198" s="16"/>
      <c r="J198" s="16"/>
      <c r="K198" s="16"/>
      <c r="L198" s="16"/>
      <c r="M198" s="16"/>
      <c r="N198" s="16"/>
    </row>
    <row r="199" spans="2:14" x14ac:dyDescent="0.3">
      <c r="G199" s="6"/>
      <c r="I199" s="16"/>
      <c r="J199" s="16"/>
      <c r="K199" s="16"/>
      <c r="L199" s="16"/>
      <c r="M199" s="16"/>
      <c r="N199" s="16"/>
    </row>
    <row r="200" spans="2:14" x14ac:dyDescent="0.3">
      <c r="D200" s="17" t="s">
        <v>25</v>
      </c>
      <c r="E200" s="18">
        <v>0.1</v>
      </c>
      <c r="F200" s="11">
        <f>F197*E200</f>
        <v>0</v>
      </c>
      <c r="H200" s="12" t="s">
        <v>31</v>
      </c>
      <c r="I200" s="16"/>
      <c r="J200" s="16"/>
      <c r="K200" s="16"/>
      <c r="L200" s="16"/>
      <c r="M200" s="16"/>
      <c r="N200" s="16"/>
    </row>
    <row r="201" spans="2:14" x14ac:dyDescent="0.3">
      <c r="D201" s="17" t="s">
        <v>7</v>
      </c>
      <c r="E201" s="19">
        <v>110</v>
      </c>
      <c r="F201" s="11">
        <f>B197*E201</f>
        <v>0</v>
      </c>
      <c r="H201" s="20">
        <f>B197</f>
        <v>0</v>
      </c>
      <c r="I201" s="16"/>
      <c r="J201" s="16"/>
      <c r="K201" s="16"/>
      <c r="L201" s="16"/>
      <c r="M201" s="16"/>
      <c r="N201" s="16"/>
    </row>
    <row r="202" spans="2:14" x14ac:dyDescent="0.3">
      <c r="D202" s="17" t="s">
        <v>8</v>
      </c>
      <c r="E202" s="21">
        <v>0.4</v>
      </c>
      <c r="F202" s="11">
        <f>F201*E202</f>
        <v>0</v>
      </c>
      <c r="H202" s="20">
        <f>F202/E201</f>
        <v>0</v>
      </c>
      <c r="I202" s="16"/>
      <c r="J202" s="16"/>
      <c r="K202" s="16"/>
      <c r="L202" s="16"/>
      <c r="M202" s="16"/>
      <c r="N202" s="16"/>
    </row>
    <row r="203" spans="2:14" x14ac:dyDescent="0.3">
      <c r="D203" s="17" t="s">
        <v>9</v>
      </c>
      <c r="E203" s="21">
        <v>0.2</v>
      </c>
      <c r="F203" s="11">
        <f>F201*E203</f>
        <v>0</v>
      </c>
      <c r="H203" s="20">
        <f>F203/E201</f>
        <v>0</v>
      </c>
      <c r="I203" s="16"/>
      <c r="J203" s="16"/>
      <c r="K203" s="16"/>
      <c r="L203" s="16"/>
      <c r="M203" s="16"/>
      <c r="N203" s="16"/>
    </row>
    <row r="204" spans="2:14" x14ac:dyDescent="0.3">
      <c r="D204" s="22" t="s">
        <v>14</v>
      </c>
      <c r="E204" s="23"/>
      <c r="F204" s="24">
        <f>F197+SUM(F200:F203)</f>
        <v>0</v>
      </c>
      <c r="I204" s="16"/>
      <c r="J204" s="16"/>
      <c r="K204" s="16"/>
      <c r="L204" s="16"/>
      <c r="M204" s="16"/>
      <c r="N204" s="16"/>
    </row>
    <row r="205" spans="2:14" x14ac:dyDescent="0.3">
      <c r="D205" s="17" t="s">
        <v>10</v>
      </c>
      <c r="E205" s="21">
        <v>0.4</v>
      </c>
      <c r="F205" s="1">
        <f>E205*F204</f>
        <v>0</v>
      </c>
      <c r="I205" s="16"/>
      <c r="J205" s="16"/>
      <c r="K205" s="16"/>
      <c r="L205" s="16"/>
      <c r="M205" s="16"/>
      <c r="N205" s="16"/>
    </row>
    <row r="206" spans="2:14" s="29" customFormat="1" ht="20.100000000000001" customHeight="1" x14ac:dyDescent="0.3">
      <c r="B206" s="16"/>
      <c r="C206" s="16"/>
      <c r="D206" s="25" t="s">
        <v>11</v>
      </c>
      <c r="E206" s="26"/>
      <c r="F206" s="27">
        <f>F204+F205</f>
        <v>0</v>
      </c>
      <c r="G206" s="28"/>
      <c r="I206" s="16"/>
      <c r="J206" s="16"/>
      <c r="K206" s="16"/>
      <c r="L206" s="16"/>
      <c r="M206" s="16"/>
      <c r="N206" s="16"/>
    </row>
    <row r="207" spans="2:14" x14ac:dyDescent="0.3">
      <c r="D207" s="5"/>
      <c r="E207" s="30"/>
      <c r="I207" s="16"/>
      <c r="J207" s="16"/>
      <c r="K207" s="16"/>
      <c r="L207" s="16"/>
      <c r="M207" s="16"/>
      <c r="N207" s="16"/>
    </row>
    <row r="208" spans="2:14" x14ac:dyDescent="0.3">
      <c r="D208" s="31" t="s">
        <v>20</v>
      </c>
      <c r="E208" s="32"/>
      <c r="F208" s="32">
        <v>0</v>
      </c>
      <c r="I208" s="16"/>
      <c r="J208" s="16"/>
      <c r="K208" s="16"/>
      <c r="L208" s="16"/>
      <c r="M208" s="16"/>
      <c r="N208" s="16"/>
    </row>
    <row r="209" spans="1:16" x14ac:dyDescent="0.3">
      <c r="D209" s="31" t="s">
        <v>22</v>
      </c>
      <c r="E209" s="32"/>
      <c r="F209" s="32">
        <v>0</v>
      </c>
      <c r="I209" s="16"/>
      <c r="J209" s="16"/>
      <c r="K209" s="16"/>
      <c r="L209" s="16"/>
      <c r="M209" s="16"/>
      <c r="N209" s="16"/>
    </row>
    <row r="210" spans="1:16" x14ac:dyDescent="0.3">
      <c r="D210" s="31" t="s">
        <v>22</v>
      </c>
      <c r="E210" s="32"/>
      <c r="F210" s="32">
        <v>0</v>
      </c>
      <c r="I210" s="16"/>
      <c r="J210" s="16"/>
      <c r="K210" s="16"/>
      <c r="L210" s="16"/>
      <c r="M210" s="16"/>
      <c r="N210" s="16"/>
    </row>
    <row r="211" spans="1:16" x14ac:dyDescent="0.3">
      <c r="D211" s="31" t="s">
        <v>21</v>
      </c>
      <c r="E211" s="33">
        <v>0.25</v>
      </c>
      <c r="F211" s="68">
        <f>(F208+F209+F210)*E211</f>
        <v>0</v>
      </c>
      <c r="I211" s="16"/>
      <c r="J211" s="16"/>
      <c r="K211" s="16"/>
      <c r="L211" s="16"/>
      <c r="M211" s="16"/>
      <c r="N211" s="16"/>
    </row>
    <row r="212" spans="1:16" x14ac:dyDescent="0.3">
      <c r="D212" s="34" t="s">
        <v>23</v>
      </c>
      <c r="E212" s="35"/>
      <c r="F212" s="36">
        <f>F208+F209+F210+F211</f>
        <v>0</v>
      </c>
      <c r="I212" s="16"/>
      <c r="J212" s="16"/>
      <c r="K212" s="16"/>
      <c r="L212" s="16"/>
      <c r="M212" s="16"/>
      <c r="N212" s="16"/>
    </row>
    <row r="213" spans="1:16" x14ac:dyDescent="0.3">
      <c r="E213" s="37"/>
      <c r="I213" s="16"/>
      <c r="J213" s="16"/>
      <c r="K213" s="16"/>
      <c r="L213" s="16"/>
      <c r="M213" s="16"/>
      <c r="N213" s="16"/>
    </row>
    <row r="214" spans="1:16" x14ac:dyDescent="0.3">
      <c r="D214" s="22" t="s">
        <v>12</v>
      </c>
      <c r="E214" s="38"/>
      <c r="F214" s="39">
        <f>I215</f>
        <v>0</v>
      </c>
      <c r="H214" s="40" t="s">
        <v>16</v>
      </c>
      <c r="I214" s="40" t="s">
        <v>18</v>
      </c>
      <c r="J214" s="16"/>
      <c r="K214" s="16"/>
      <c r="L214" s="16"/>
      <c r="M214" s="16"/>
      <c r="N214" s="16"/>
      <c r="O214" s="41" t="s">
        <v>26</v>
      </c>
      <c r="P214" s="41" t="s">
        <v>18</v>
      </c>
    </row>
    <row r="215" spans="1:16" x14ac:dyDescent="0.3">
      <c r="D215" s="17" t="s">
        <v>19</v>
      </c>
      <c r="E215" s="42">
        <v>0</v>
      </c>
      <c r="F215" s="11">
        <f>F214*E215</f>
        <v>0</v>
      </c>
      <c r="H215" s="61"/>
      <c r="I215" s="1"/>
      <c r="J215" s="16"/>
      <c r="K215" s="16"/>
      <c r="L215" s="16"/>
      <c r="M215" s="16"/>
      <c r="N215" s="16"/>
      <c r="O215" s="43" t="s">
        <v>27</v>
      </c>
      <c r="P215" s="44">
        <v>6.6250000000000003E-2</v>
      </c>
    </row>
    <row r="216" spans="1:16" x14ac:dyDescent="0.3">
      <c r="D216" s="17"/>
      <c r="E216" s="45"/>
      <c r="F216" s="11"/>
      <c r="H216" s="46"/>
      <c r="I216" s="46"/>
      <c r="J216" s="16"/>
      <c r="K216" s="16"/>
      <c r="L216" s="16"/>
      <c r="M216" s="16"/>
      <c r="N216" s="16"/>
      <c r="O216" s="47" t="s">
        <v>28</v>
      </c>
      <c r="P216" s="48">
        <v>8.8749999999999996E-2</v>
      </c>
    </row>
    <row r="217" spans="1:16" x14ac:dyDescent="0.3">
      <c r="D217" s="17" t="s">
        <v>13</v>
      </c>
      <c r="E217" s="42">
        <v>0.25</v>
      </c>
      <c r="F217" s="11">
        <f>E217*(F214+F215)</f>
        <v>0</v>
      </c>
      <c r="H217" s="1"/>
      <c r="I217" s="1"/>
      <c r="J217" s="16"/>
      <c r="K217" s="16"/>
      <c r="L217" s="16"/>
      <c r="M217" s="16"/>
      <c r="N217" s="16"/>
      <c r="O217" s="43" t="s">
        <v>32</v>
      </c>
      <c r="P217" s="44">
        <v>0</v>
      </c>
    </row>
    <row r="218" spans="1:16" s="29" customFormat="1" ht="20.100000000000001" customHeight="1" x14ac:dyDescent="0.3">
      <c r="B218" s="16"/>
      <c r="C218" s="16"/>
      <c r="D218" s="25" t="s">
        <v>15</v>
      </c>
      <c r="E218" s="49"/>
      <c r="F218" s="50">
        <f>F214+F215+F217</f>
        <v>0</v>
      </c>
      <c r="G218" s="28"/>
      <c r="H218" s="46"/>
      <c r="I218" s="46"/>
      <c r="J218"/>
      <c r="K218"/>
      <c r="L218"/>
      <c r="M218"/>
      <c r="N218"/>
    </row>
    <row r="219" spans="1:16" ht="15" thickBot="1" x14ac:dyDescent="0.35">
      <c r="D219" s="4"/>
      <c r="E219" s="51"/>
      <c r="H219" s="16"/>
      <c r="I219" s="16"/>
    </row>
    <row r="220" spans="1:16" ht="15" thickBot="1" x14ac:dyDescent="0.35">
      <c r="D220" s="7" t="s">
        <v>24</v>
      </c>
      <c r="E220" s="52">
        <f>_xlfn.XLOOKUP(G220, O215:O217, P215:P217, 0)</f>
        <v>8.8749999999999996E-2</v>
      </c>
      <c r="F220" s="53">
        <f>F197*E220</f>
        <v>0</v>
      </c>
      <c r="G220" s="54" t="s">
        <v>28</v>
      </c>
      <c r="I220" s="16"/>
      <c r="J220" s="16"/>
      <c r="K220" s="16"/>
      <c r="L220" s="16"/>
      <c r="M220" s="16"/>
      <c r="N220" s="16"/>
    </row>
    <row r="221" spans="1:16" x14ac:dyDescent="0.3">
      <c r="D221" s="7" t="s">
        <v>33</v>
      </c>
      <c r="E221" s="55">
        <v>0.05</v>
      </c>
      <c r="F221" s="8">
        <f>E221*(F206+F212+F218+F220)</f>
        <v>0</v>
      </c>
      <c r="I221" s="16"/>
      <c r="J221" s="16"/>
      <c r="K221" s="16"/>
      <c r="L221" s="16"/>
      <c r="M221" s="16"/>
      <c r="N221" s="16"/>
    </row>
    <row r="222" spans="1:16" ht="20.25" customHeight="1" x14ac:dyDescent="0.3">
      <c r="D222" s="56" t="s">
        <v>0</v>
      </c>
      <c r="E222" s="57"/>
      <c r="F222" s="57">
        <f>F206+F218+F220+F212+F221</f>
        <v>0</v>
      </c>
      <c r="I222" s="16"/>
      <c r="J222" s="16"/>
      <c r="K222" s="16"/>
      <c r="L222" s="16"/>
      <c r="M222" s="16"/>
      <c r="N222" s="16"/>
    </row>
    <row r="223" spans="1:16" x14ac:dyDescent="0.3">
      <c r="D223" s="58" t="s">
        <v>17</v>
      </c>
      <c r="E223" s="59" t="e">
        <f>F223/(F222-F220)</f>
        <v>#DIV/0!</v>
      </c>
      <c r="F223" s="60">
        <f>F222-F204-F214-F208-F209-F210-F220-F215</f>
        <v>0</v>
      </c>
      <c r="I223" s="16"/>
      <c r="J223" s="16"/>
      <c r="K223" s="16"/>
      <c r="L223" s="16"/>
      <c r="M223" s="16"/>
      <c r="N223" s="16"/>
    </row>
    <row r="224" spans="1:16" x14ac:dyDescent="0.3">
      <c r="A224" s="283" t="str">
        <f>HYPERLINK("#A1", "🔼 Go to Top")</f>
        <v>🔼 Go to Top</v>
      </c>
      <c r="B224" s="283"/>
    </row>
  </sheetData>
  <mergeCells count="7">
    <mergeCell ref="A224:B224"/>
    <mergeCell ref="B2:D2"/>
    <mergeCell ref="E2:H2"/>
    <mergeCell ref="B3:C3"/>
    <mergeCell ref="B4:C4"/>
    <mergeCell ref="B6:C6"/>
    <mergeCell ref="E198:F198"/>
  </mergeCells>
  <dataValidations count="1">
    <dataValidation type="list" allowBlank="1" showInputMessage="1" showErrorMessage="1" sqref="G220" xr:uid="{E816EE08-FEF2-4666-8E1C-5416619B304D}">
      <formula1>O215:O217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05A1-91B9-4438-9C51-15BBE58ECAE6}">
  <sheetPr>
    <tabColor rgb="FFFFFF00"/>
  </sheetPr>
  <dimension ref="B1:O78"/>
  <sheetViews>
    <sheetView topLeftCell="A28" zoomScale="90" zoomScaleNormal="90" workbookViewId="0">
      <selection activeCell="B4" sqref="B4:C38"/>
    </sheetView>
  </sheetViews>
  <sheetFormatPr defaultColWidth="9.109375" defaultRowHeight="14.4" x14ac:dyDescent="0.3"/>
  <cols>
    <col min="1" max="1" width="5.6640625" style="87" customWidth="1"/>
    <col min="2" max="2" width="49.44140625" style="87" customWidth="1"/>
    <col min="3" max="3" width="15.5546875" style="87" customWidth="1"/>
    <col min="4" max="4" width="10.44140625" style="87" customWidth="1"/>
    <col min="5" max="5" width="16.44140625" style="87" customWidth="1"/>
    <col min="6" max="6" width="18.6640625" style="87" customWidth="1"/>
    <col min="7" max="7" width="18.88671875" style="87" bestFit="1" customWidth="1"/>
    <col min="8" max="8" width="22.109375" style="88" bestFit="1" customWidth="1"/>
    <col min="9" max="9" width="21.6640625" style="87" bestFit="1" customWidth="1"/>
    <col min="10" max="10" width="12.6640625" style="88" customWidth="1"/>
    <col min="11" max="11" width="7.44140625" style="87" customWidth="1"/>
    <col min="12" max="12" width="19.109375" style="87" customWidth="1"/>
    <col min="13" max="13" width="25" style="87" customWidth="1"/>
    <col min="14" max="14" width="53.88671875" style="87" customWidth="1"/>
    <col min="15" max="15" width="11.109375" style="89" bestFit="1" customWidth="1"/>
    <col min="16" max="16384" width="9.109375" style="87"/>
  </cols>
  <sheetData>
    <row r="1" spans="2:15" ht="15" thickBot="1" x14ac:dyDescent="0.35"/>
    <row r="2" spans="2:15" s="90" customFormat="1" ht="30" customHeight="1" x14ac:dyDescent="0.3">
      <c r="B2" s="300" t="s">
        <v>45</v>
      </c>
      <c r="C2" s="300"/>
      <c r="E2" s="301" t="s">
        <v>46</v>
      </c>
      <c r="F2" s="302"/>
      <c r="G2" s="303"/>
      <c r="H2" s="91"/>
      <c r="J2" s="91"/>
      <c r="O2" s="92"/>
    </row>
    <row r="3" spans="2:15" x14ac:dyDescent="0.3">
      <c r="B3" s="93" t="s">
        <v>47</v>
      </c>
      <c r="C3" s="93"/>
      <c r="D3" s="94"/>
      <c r="E3" s="95" t="s">
        <v>48</v>
      </c>
      <c r="F3" s="96" t="s">
        <v>49</v>
      </c>
      <c r="G3" s="97" t="s">
        <v>50</v>
      </c>
    </row>
    <row r="4" spans="2:15" x14ac:dyDescent="0.3">
      <c r="B4" s="98" t="s">
        <v>51</v>
      </c>
      <c r="C4" s="99">
        <v>25</v>
      </c>
      <c r="D4" s="100"/>
      <c r="E4" s="101" t="s">
        <v>52</v>
      </c>
      <c r="F4" s="98" t="s">
        <v>53</v>
      </c>
      <c r="G4" s="102">
        <v>16.829999999999998</v>
      </c>
    </row>
    <row r="5" spans="2:15" x14ac:dyDescent="0.3">
      <c r="B5" s="96"/>
      <c r="C5" s="103"/>
      <c r="E5" s="101" t="s">
        <v>54</v>
      </c>
      <c r="F5" s="98" t="s">
        <v>55</v>
      </c>
      <c r="G5" s="102">
        <v>13.3</v>
      </c>
      <c r="H5" s="88" t="s">
        <v>56</v>
      </c>
    </row>
    <row r="6" spans="2:15" x14ac:dyDescent="0.3">
      <c r="B6" s="96"/>
      <c r="C6" s="103"/>
      <c r="E6" s="101" t="s">
        <v>54</v>
      </c>
      <c r="F6" s="98" t="s">
        <v>57</v>
      </c>
      <c r="G6" s="102">
        <v>13.3</v>
      </c>
      <c r="H6" s="88" t="s">
        <v>58</v>
      </c>
    </row>
    <row r="7" spans="2:15" x14ac:dyDescent="0.3">
      <c r="B7" s="98" t="s">
        <v>59</v>
      </c>
      <c r="C7" s="99">
        <v>280</v>
      </c>
      <c r="D7" s="94"/>
      <c r="E7" s="106" t="s">
        <v>52</v>
      </c>
      <c r="F7" s="244" t="s">
        <v>257</v>
      </c>
      <c r="G7" s="102">
        <v>278.52</v>
      </c>
    </row>
    <row r="8" spans="2:15" x14ac:dyDescent="0.3">
      <c r="B8" s="96"/>
      <c r="C8" s="103"/>
      <c r="D8" s="94"/>
      <c r="E8" s="109"/>
      <c r="F8" s="96" t="s">
        <v>60</v>
      </c>
      <c r="G8" s="105">
        <v>147.84</v>
      </c>
    </row>
    <row r="9" spans="2:15" x14ac:dyDescent="0.3">
      <c r="B9" s="244" t="s">
        <v>258</v>
      </c>
      <c r="C9" s="99">
        <v>150</v>
      </c>
      <c r="E9" s="106" t="s">
        <v>52</v>
      </c>
      <c r="F9" s="98" t="s">
        <v>61</v>
      </c>
      <c r="G9" s="102">
        <v>141.24</v>
      </c>
      <c r="H9" s="107"/>
    </row>
    <row r="10" spans="2:15" x14ac:dyDescent="0.3">
      <c r="B10" s="96" t="s">
        <v>62</v>
      </c>
      <c r="C10" s="103"/>
      <c r="E10" s="95"/>
      <c r="F10" s="96"/>
      <c r="G10" s="108"/>
      <c r="H10" s="107"/>
    </row>
    <row r="11" spans="2:15" x14ac:dyDescent="0.3">
      <c r="B11" s="96" t="s">
        <v>63</v>
      </c>
      <c r="C11" s="103">
        <v>100</v>
      </c>
      <c r="E11" s="95" t="s">
        <v>52</v>
      </c>
      <c r="F11" s="96" t="s">
        <v>64</v>
      </c>
      <c r="G11" s="105">
        <v>67.650000000000006</v>
      </c>
      <c r="H11" s="107"/>
    </row>
    <row r="12" spans="2:15" x14ac:dyDescent="0.3">
      <c r="B12" s="96" t="s">
        <v>65</v>
      </c>
      <c r="C12" s="103">
        <v>150</v>
      </c>
      <c r="E12" s="95" t="s">
        <v>66</v>
      </c>
      <c r="F12" s="96" t="s">
        <v>67</v>
      </c>
      <c r="G12" s="105">
        <v>122.2</v>
      </c>
    </row>
    <row r="13" spans="2:15" x14ac:dyDescent="0.3">
      <c r="B13" s="96" t="s">
        <v>68</v>
      </c>
      <c r="C13" s="103">
        <v>350</v>
      </c>
      <c r="E13" s="95" t="s">
        <v>66</v>
      </c>
      <c r="F13" s="96" t="s">
        <v>69</v>
      </c>
      <c r="G13" s="105">
        <v>333.41</v>
      </c>
    </row>
    <row r="14" spans="2:15" x14ac:dyDescent="0.3">
      <c r="B14" s="245" t="s">
        <v>70</v>
      </c>
      <c r="C14" s="103">
        <v>2500</v>
      </c>
      <c r="E14" s="95"/>
      <c r="F14" s="96"/>
      <c r="G14" s="108"/>
    </row>
    <row r="15" spans="2:15" x14ac:dyDescent="0.3">
      <c r="B15" s="96"/>
      <c r="C15" s="103"/>
      <c r="E15" s="95"/>
      <c r="F15" s="96"/>
      <c r="G15" s="108"/>
    </row>
    <row r="16" spans="2:15" x14ac:dyDescent="0.3">
      <c r="B16" s="96" t="s">
        <v>71</v>
      </c>
      <c r="C16" s="103">
        <v>50</v>
      </c>
      <c r="E16" s="95" t="s">
        <v>52</v>
      </c>
      <c r="F16" s="96" t="s">
        <v>72</v>
      </c>
      <c r="G16" s="105">
        <v>31.68</v>
      </c>
    </row>
    <row r="17" spans="2:15" x14ac:dyDescent="0.3">
      <c r="B17" s="98" t="s">
        <v>73</v>
      </c>
      <c r="C17" s="99">
        <v>142</v>
      </c>
      <c r="D17" s="100"/>
      <c r="E17" s="106" t="s">
        <v>74</v>
      </c>
      <c r="F17" s="98" t="s">
        <v>75</v>
      </c>
      <c r="G17" s="102">
        <v>141.58000000000001</v>
      </c>
    </row>
    <row r="18" spans="2:15" x14ac:dyDescent="0.3">
      <c r="B18" s="96"/>
      <c r="C18" s="103"/>
      <c r="E18" s="106" t="s">
        <v>74</v>
      </c>
      <c r="F18" s="98" t="s">
        <v>76</v>
      </c>
      <c r="G18" s="102">
        <v>99</v>
      </c>
      <c r="H18" s="246" t="s">
        <v>259</v>
      </c>
    </row>
    <row r="19" spans="2:15" x14ac:dyDescent="0.3">
      <c r="B19" s="96" t="s">
        <v>77</v>
      </c>
      <c r="C19" s="103">
        <v>205</v>
      </c>
      <c r="E19" s="109" t="s">
        <v>74</v>
      </c>
      <c r="F19" s="96" t="s">
        <v>78</v>
      </c>
      <c r="G19" s="105">
        <v>204.82</v>
      </c>
      <c r="H19" s="110"/>
      <c r="J19" s="111"/>
      <c r="O19" s="112"/>
    </row>
    <row r="20" spans="2:15" x14ac:dyDescent="0.3">
      <c r="B20" s="96" t="s">
        <v>79</v>
      </c>
      <c r="C20" s="103">
        <v>340</v>
      </c>
      <c r="E20" s="109" t="s">
        <v>74</v>
      </c>
      <c r="F20" s="96" t="s">
        <v>80</v>
      </c>
      <c r="G20" s="105">
        <v>338.49</v>
      </c>
      <c r="H20" s="107"/>
      <c r="J20" s="111"/>
      <c r="O20" s="112"/>
    </row>
    <row r="21" spans="2:15" x14ac:dyDescent="0.3">
      <c r="B21" s="96"/>
      <c r="C21" s="103"/>
      <c r="E21" s="95"/>
      <c r="F21" s="96"/>
      <c r="G21" s="105"/>
      <c r="H21" s="107"/>
    </row>
    <row r="22" spans="2:15" x14ac:dyDescent="0.3">
      <c r="B22" s="96" t="s">
        <v>81</v>
      </c>
      <c r="C22" s="103">
        <v>76</v>
      </c>
      <c r="E22" s="95" t="s">
        <v>52</v>
      </c>
      <c r="F22" s="103" t="s">
        <v>82</v>
      </c>
      <c r="G22" s="105">
        <v>75.900000000000006</v>
      </c>
      <c r="H22" s="246" t="s">
        <v>260</v>
      </c>
    </row>
    <row r="23" spans="2:15" x14ac:dyDescent="0.3">
      <c r="B23" s="96" t="s">
        <v>83</v>
      </c>
      <c r="C23" s="103">
        <v>182</v>
      </c>
      <c r="E23" s="95" t="s">
        <v>52</v>
      </c>
      <c r="F23" s="96" t="s">
        <v>84</v>
      </c>
      <c r="G23" s="105">
        <v>181.35</v>
      </c>
      <c r="H23" s="107"/>
    </row>
    <row r="24" spans="2:15" x14ac:dyDescent="0.3">
      <c r="B24" s="96"/>
      <c r="C24" s="103"/>
      <c r="E24" s="95"/>
      <c r="F24" s="96"/>
      <c r="G24" s="108"/>
      <c r="H24" s="107"/>
    </row>
    <row r="25" spans="2:15" x14ac:dyDescent="0.3">
      <c r="B25" s="96" t="s">
        <v>85</v>
      </c>
      <c r="C25" s="103">
        <v>120</v>
      </c>
      <c r="E25" s="95" t="s">
        <v>66</v>
      </c>
      <c r="F25" s="96" t="s">
        <v>86</v>
      </c>
      <c r="G25" s="105">
        <v>114.89</v>
      </c>
    </row>
    <row r="26" spans="2:15" x14ac:dyDescent="0.3">
      <c r="B26" s="96" t="s">
        <v>87</v>
      </c>
      <c r="C26" s="103">
        <v>120</v>
      </c>
      <c r="E26" s="95" t="s">
        <v>66</v>
      </c>
      <c r="F26" s="96" t="s">
        <v>88</v>
      </c>
      <c r="G26" s="105">
        <v>103.02</v>
      </c>
    </row>
    <row r="27" spans="2:15" x14ac:dyDescent="0.3">
      <c r="B27" s="96" t="s">
        <v>89</v>
      </c>
      <c r="C27" s="103">
        <v>475</v>
      </c>
      <c r="E27" s="95" t="s">
        <v>90</v>
      </c>
      <c r="F27" s="96" t="s">
        <v>91</v>
      </c>
      <c r="G27" s="105">
        <v>473.77</v>
      </c>
    </row>
    <row r="28" spans="2:15" x14ac:dyDescent="0.3">
      <c r="B28" s="98" t="s">
        <v>92</v>
      </c>
      <c r="C28" s="99">
        <v>500</v>
      </c>
      <c r="D28" s="100"/>
      <c r="E28" s="106" t="s">
        <v>66</v>
      </c>
      <c r="F28" s="98" t="s">
        <v>88</v>
      </c>
      <c r="G28" s="102">
        <v>103.02</v>
      </c>
    </row>
    <row r="29" spans="2:15" x14ac:dyDescent="0.3">
      <c r="B29" s="96"/>
      <c r="C29" s="103"/>
      <c r="E29" s="106" t="s">
        <v>66</v>
      </c>
      <c r="F29" s="98" t="s">
        <v>93</v>
      </c>
      <c r="G29" s="102">
        <v>444.74</v>
      </c>
    </row>
    <row r="30" spans="2:15" x14ac:dyDescent="0.3">
      <c r="B30" s="96"/>
      <c r="C30" s="103"/>
      <c r="E30" s="106" t="s">
        <v>90</v>
      </c>
      <c r="F30" s="98" t="s">
        <v>91</v>
      </c>
      <c r="G30" s="102">
        <v>473.77</v>
      </c>
    </row>
    <row r="31" spans="2:15" x14ac:dyDescent="0.3">
      <c r="B31" s="96"/>
      <c r="C31" s="103"/>
      <c r="E31" s="258" t="s">
        <v>303</v>
      </c>
      <c r="F31" s="244" t="s">
        <v>304</v>
      </c>
      <c r="G31" s="259">
        <f>2280+880</f>
        <v>3160</v>
      </c>
    </row>
    <row r="32" spans="2:15" x14ac:dyDescent="0.3">
      <c r="B32" s="96"/>
      <c r="C32" s="103"/>
      <c r="E32" s="258"/>
      <c r="F32" s="98"/>
      <c r="G32" s="102"/>
    </row>
    <row r="33" spans="2:8" x14ac:dyDescent="0.3">
      <c r="B33" s="96" t="s">
        <v>94</v>
      </c>
      <c r="C33" s="103">
        <v>250</v>
      </c>
      <c r="E33" s="95" t="s">
        <v>90</v>
      </c>
      <c r="F33" s="96" t="s">
        <v>95</v>
      </c>
      <c r="G33" s="105">
        <v>248.67</v>
      </c>
    </row>
    <row r="34" spans="2:8" x14ac:dyDescent="0.3">
      <c r="B34" s="96"/>
      <c r="C34" s="103"/>
      <c r="E34" s="95"/>
      <c r="F34" s="96"/>
      <c r="G34" s="108"/>
    </row>
    <row r="35" spans="2:8" x14ac:dyDescent="0.3">
      <c r="B35" s="96" t="s">
        <v>96</v>
      </c>
      <c r="C35" s="103">
        <v>190</v>
      </c>
      <c r="E35" s="95" t="s">
        <v>66</v>
      </c>
      <c r="F35" s="96" t="s">
        <v>97</v>
      </c>
      <c r="G35" s="105">
        <v>186.82</v>
      </c>
    </row>
    <row r="36" spans="2:8" x14ac:dyDescent="0.3">
      <c r="B36" s="96" t="s">
        <v>98</v>
      </c>
      <c r="C36" s="103">
        <v>190</v>
      </c>
      <c r="E36" s="95" t="s">
        <v>52</v>
      </c>
      <c r="F36" s="96" t="s">
        <v>99</v>
      </c>
      <c r="G36" s="105">
        <v>180.45</v>
      </c>
    </row>
    <row r="37" spans="2:8" x14ac:dyDescent="0.3">
      <c r="B37" s="96" t="s">
        <v>100</v>
      </c>
      <c r="C37" s="103">
        <v>300</v>
      </c>
      <c r="E37" s="95" t="s">
        <v>66</v>
      </c>
      <c r="F37" s="96" t="s">
        <v>101</v>
      </c>
      <c r="G37" s="105">
        <v>295.02999999999997</v>
      </c>
    </row>
    <row r="38" spans="2:8" x14ac:dyDescent="0.3">
      <c r="B38" s="96" t="s">
        <v>102</v>
      </c>
      <c r="C38" s="103">
        <v>330</v>
      </c>
      <c r="E38" s="95" t="s">
        <v>66</v>
      </c>
      <c r="F38" s="96" t="s">
        <v>103</v>
      </c>
      <c r="G38" s="105">
        <v>327.81</v>
      </c>
    </row>
    <row r="39" spans="2:8" x14ac:dyDescent="0.3">
      <c r="B39" s="96" t="s">
        <v>104</v>
      </c>
      <c r="C39" s="103">
        <v>330</v>
      </c>
      <c r="E39" s="95" t="s">
        <v>66</v>
      </c>
      <c r="F39" s="96" t="s">
        <v>105</v>
      </c>
      <c r="G39" s="105">
        <v>327.81</v>
      </c>
    </row>
    <row r="40" spans="2:8" x14ac:dyDescent="0.3">
      <c r="B40" s="245" t="s">
        <v>263</v>
      </c>
      <c r="C40" s="103">
        <v>250</v>
      </c>
      <c r="E40" s="247" t="s">
        <v>262</v>
      </c>
      <c r="F40" s="96" t="s">
        <v>261</v>
      </c>
      <c r="G40" s="105">
        <v>213.28</v>
      </c>
    </row>
    <row r="41" spans="2:8" x14ac:dyDescent="0.3">
      <c r="B41" s="96"/>
      <c r="C41" s="103"/>
      <c r="E41" s="95"/>
      <c r="F41" s="96"/>
      <c r="G41" s="108"/>
    </row>
    <row r="42" spans="2:8" x14ac:dyDescent="0.3">
      <c r="B42" s="96" t="s">
        <v>106</v>
      </c>
      <c r="C42" s="103">
        <v>355</v>
      </c>
      <c r="E42" s="95" t="s">
        <v>74</v>
      </c>
      <c r="F42" s="96" t="s">
        <v>107</v>
      </c>
      <c r="G42" s="105">
        <v>353.23</v>
      </c>
      <c r="H42" s="88" t="s">
        <v>108</v>
      </c>
    </row>
    <row r="43" spans="2:8" x14ac:dyDescent="0.3">
      <c r="B43" s="96" t="s">
        <v>109</v>
      </c>
      <c r="C43" s="103">
        <v>255</v>
      </c>
      <c r="E43" s="95" t="s">
        <v>74</v>
      </c>
      <c r="F43" s="96" t="s">
        <v>256</v>
      </c>
      <c r="G43" s="105">
        <v>253.33</v>
      </c>
      <c r="H43" s="88" t="s">
        <v>111</v>
      </c>
    </row>
    <row r="44" spans="2:8" x14ac:dyDescent="0.3">
      <c r="B44" s="96"/>
      <c r="C44" s="103"/>
      <c r="E44" s="95" t="s">
        <v>74</v>
      </c>
      <c r="F44" s="96" t="s">
        <v>110</v>
      </c>
      <c r="G44" s="105">
        <v>193.68</v>
      </c>
      <c r="H44" s="248"/>
    </row>
    <row r="45" spans="2:8" x14ac:dyDescent="0.3">
      <c r="B45" s="96" t="s">
        <v>112</v>
      </c>
      <c r="C45" s="103">
        <v>140</v>
      </c>
      <c r="E45" s="95" t="s">
        <v>90</v>
      </c>
      <c r="F45" s="96" t="s">
        <v>113</v>
      </c>
      <c r="G45" s="105">
        <v>139.19</v>
      </c>
    </row>
    <row r="46" spans="2:8" x14ac:dyDescent="0.3">
      <c r="B46" s="96" t="s">
        <v>114</v>
      </c>
      <c r="C46" s="103">
        <v>90</v>
      </c>
      <c r="E46" s="95" t="s">
        <v>90</v>
      </c>
      <c r="F46" s="96" t="s">
        <v>115</v>
      </c>
      <c r="G46" s="105">
        <v>89.66</v>
      </c>
    </row>
    <row r="47" spans="2:8" x14ac:dyDescent="0.3">
      <c r="B47" s="96" t="s">
        <v>116</v>
      </c>
      <c r="C47" s="103">
        <v>50</v>
      </c>
      <c r="E47" s="95" t="s">
        <v>90</v>
      </c>
      <c r="F47" s="96" t="s">
        <v>117</v>
      </c>
      <c r="G47" s="105">
        <v>32.42</v>
      </c>
    </row>
    <row r="48" spans="2:8" x14ac:dyDescent="0.3">
      <c r="B48" s="96" t="s">
        <v>118</v>
      </c>
      <c r="C48" s="103">
        <v>50</v>
      </c>
      <c r="E48" s="95" t="s">
        <v>90</v>
      </c>
      <c r="F48" s="96" t="s">
        <v>117</v>
      </c>
      <c r="G48" s="105">
        <v>32.42</v>
      </c>
    </row>
    <row r="49" spans="2:10" x14ac:dyDescent="0.3">
      <c r="B49" s="96" t="s">
        <v>119</v>
      </c>
      <c r="C49" s="103">
        <v>210</v>
      </c>
      <c r="E49" s="95" t="s">
        <v>52</v>
      </c>
      <c r="F49" s="96" t="s">
        <v>120</v>
      </c>
      <c r="G49" s="105">
        <v>205.92</v>
      </c>
    </row>
    <row r="50" spans="2:10" x14ac:dyDescent="0.3">
      <c r="B50" s="96" t="s">
        <v>121</v>
      </c>
      <c r="C50" s="103">
        <v>240</v>
      </c>
      <c r="E50" s="95" t="s">
        <v>52</v>
      </c>
      <c r="F50" s="245" t="s">
        <v>115</v>
      </c>
      <c r="G50" s="105">
        <v>233.2</v>
      </c>
    </row>
    <row r="51" spans="2:10" x14ac:dyDescent="0.3">
      <c r="B51" s="249" t="s">
        <v>265</v>
      </c>
      <c r="C51" s="113">
        <v>112</v>
      </c>
      <c r="D51" s="115"/>
      <c r="E51" s="116" t="s">
        <v>54</v>
      </c>
      <c r="F51" s="114" t="s">
        <v>122</v>
      </c>
      <c r="G51" s="117">
        <v>111.91</v>
      </c>
      <c r="I51" s="87" t="s">
        <v>123</v>
      </c>
      <c r="J51" s="88" t="s">
        <v>124</v>
      </c>
    </row>
    <row r="52" spans="2:10" x14ac:dyDescent="0.3">
      <c r="B52" s="245" t="s">
        <v>264</v>
      </c>
      <c r="C52" s="103">
        <v>60</v>
      </c>
      <c r="E52" s="95" t="s">
        <v>123</v>
      </c>
      <c r="F52" s="96" t="s">
        <v>124</v>
      </c>
      <c r="G52" s="105">
        <v>58.31</v>
      </c>
    </row>
    <row r="53" spans="2:10" x14ac:dyDescent="0.3">
      <c r="B53" s="96" t="s">
        <v>125</v>
      </c>
      <c r="C53" s="103">
        <v>310</v>
      </c>
      <c r="E53" s="95" t="s">
        <v>54</v>
      </c>
      <c r="F53" s="96" t="s">
        <v>126</v>
      </c>
      <c r="G53" s="105">
        <v>306.14999999999998</v>
      </c>
      <c r="H53" s="88" t="s">
        <v>127</v>
      </c>
    </row>
    <row r="54" spans="2:10" x14ac:dyDescent="0.3">
      <c r="B54" s="96"/>
      <c r="C54" s="103"/>
      <c r="E54" s="95" t="s">
        <v>54</v>
      </c>
      <c r="F54" s="96" t="s">
        <v>128</v>
      </c>
      <c r="G54" s="105">
        <v>506.72</v>
      </c>
      <c r="H54" s="88" t="s">
        <v>129</v>
      </c>
    </row>
    <row r="55" spans="2:10" x14ac:dyDescent="0.3">
      <c r="B55" s="245" t="s">
        <v>130</v>
      </c>
      <c r="C55" s="103">
        <v>190</v>
      </c>
      <c r="E55" s="250" t="s">
        <v>52</v>
      </c>
      <c r="F55" s="254" t="s">
        <v>266</v>
      </c>
      <c r="G55" s="108">
        <v>189.75</v>
      </c>
    </row>
    <row r="56" spans="2:10" ht="15.75" customHeight="1" x14ac:dyDescent="0.3">
      <c r="B56" s="245" t="s">
        <v>131</v>
      </c>
      <c r="C56" s="103">
        <v>170</v>
      </c>
      <c r="E56" s="251" t="s">
        <v>268</v>
      </c>
      <c r="F56" s="245" t="s">
        <v>267</v>
      </c>
      <c r="G56" s="108">
        <v>166.73</v>
      </c>
    </row>
    <row r="57" spans="2:10" x14ac:dyDescent="0.3">
      <c r="B57" s="245" t="s">
        <v>132</v>
      </c>
      <c r="C57" s="103">
        <v>235</v>
      </c>
      <c r="E57" s="109" t="s">
        <v>133</v>
      </c>
      <c r="F57" s="245" t="s">
        <v>134</v>
      </c>
      <c r="G57" s="108">
        <v>234.52</v>
      </c>
    </row>
    <row r="58" spans="2:10" x14ac:dyDescent="0.3">
      <c r="B58" s="96" t="s">
        <v>135</v>
      </c>
      <c r="C58" s="103">
        <v>105</v>
      </c>
      <c r="E58" s="109" t="s">
        <v>136</v>
      </c>
      <c r="F58" s="96" t="s">
        <v>137</v>
      </c>
      <c r="G58" s="105">
        <v>103.11</v>
      </c>
    </row>
    <row r="59" spans="2:10" x14ac:dyDescent="0.3">
      <c r="B59" s="96"/>
      <c r="C59" s="103"/>
      <c r="E59" s="95"/>
      <c r="F59" s="96"/>
      <c r="G59" s="108"/>
    </row>
    <row r="60" spans="2:10" x14ac:dyDescent="0.3">
      <c r="B60" s="98" t="s">
        <v>138</v>
      </c>
      <c r="C60" s="99">
        <v>320</v>
      </c>
      <c r="D60" s="100"/>
      <c r="E60" s="106" t="s">
        <v>139</v>
      </c>
      <c r="F60" s="98" t="s">
        <v>140</v>
      </c>
      <c r="G60" s="118">
        <v>318.72000000000003</v>
      </c>
    </row>
    <row r="61" spans="2:10" x14ac:dyDescent="0.3">
      <c r="B61" s="98"/>
      <c r="C61" s="99">
        <v>270</v>
      </c>
      <c r="D61" s="100"/>
      <c r="E61" s="106" t="s">
        <v>141</v>
      </c>
      <c r="F61" s="98" t="s">
        <v>140</v>
      </c>
      <c r="G61" s="102">
        <v>269.95999999999998</v>
      </c>
      <c r="H61" s="107" t="s">
        <v>142</v>
      </c>
    </row>
    <row r="62" spans="2:10" x14ac:dyDescent="0.3">
      <c r="B62" s="96" t="s">
        <v>143</v>
      </c>
      <c r="C62" s="103">
        <v>170</v>
      </c>
      <c r="E62" s="95" t="s">
        <v>144</v>
      </c>
      <c r="F62" s="96" t="s">
        <v>140</v>
      </c>
      <c r="G62" s="105">
        <v>161.5</v>
      </c>
      <c r="H62" s="107" t="s">
        <v>145</v>
      </c>
    </row>
    <row r="63" spans="2:10" x14ac:dyDescent="0.3">
      <c r="B63" s="96" t="s">
        <v>146</v>
      </c>
      <c r="C63" s="103"/>
      <c r="E63" s="95" t="s">
        <v>147</v>
      </c>
      <c r="F63" s="96" t="s">
        <v>148</v>
      </c>
      <c r="G63" s="105">
        <v>17.739999999999998</v>
      </c>
    </row>
    <row r="64" spans="2:10" x14ac:dyDescent="0.3">
      <c r="B64" s="98" t="s">
        <v>149</v>
      </c>
      <c r="C64" s="99">
        <v>35</v>
      </c>
      <c r="D64" s="100"/>
      <c r="E64" s="106" t="s">
        <v>66</v>
      </c>
      <c r="F64" s="98" t="s">
        <v>150</v>
      </c>
      <c r="G64" s="102">
        <v>21.23</v>
      </c>
    </row>
    <row r="65" spans="2:8" x14ac:dyDescent="0.3">
      <c r="B65" s="96"/>
      <c r="C65" s="103"/>
      <c r="E65" s="106" t="s">
        <v>66</v>
      </c>
      <c r="F65" s="98" t="s">
        <v>151</v>
      </c>
      <c r="G65" s="102">
        <v>30.45</v>
      </c>
    </row>
    <row r="66" spans="2:8" x14ac:dyDescent="0.3">
      <c r="B66" s="96"/>
      <c r="C66" s="103"/>
      <c r="E66" s="106" t="s">
        <v>66</v>
      </c>
      <c r="F66" s="98" t="s">
        <v>152</v>
      </c>
      <c r="G66" s="102">
        <v>29.31</v>
      </c>
    </row>
    <row r="67" spans="2:8" x14ac:dyDescent="0.3">
      <c r="B67" s="96"/>
      <c r="C67" s="103"/>
      <c r="E67" s="106" t="s">
        <v>66</v>
      </c>
      <c r="F67" s="98" t="s">
        <v>153</v>
      </c>
      <c r="G67" s="102">
        <v>29.31</v>
      </c>
    </row>
    <row r="68" spans="2:8" x14ac:dyDescent="0.3">
      <c r="B68" s="96" t="s">
        <v>154</v>
      </c>
      <c r="C68" s="103">
        <v>110</v>
      </c>
      <c r="E68" s="95" t="s">
        <v>155</v>
      </c>
      <c r="F68" s="96" t="s">
        <v>156</v>
      </c>
      <c r="G68" s="108"/>
    </row>
    <row r="69" spans="2:8" x14ac:dyDescent="0.3">
      <c r="B69" s="96" t="s">
        <v>157</v>
      </c>
      <c r="C69" s="103">
        <v>150</v>
      </c>
      <c r="E69" s="95" t="s">
        <v>158</v>
      </c>
      <c r="F69" s="96" t="s">
        <v>159</v>
      </c>
      <c r="G69" s="108"/>
    </row>
    <row r="70" spans="2:8" x14ac:dyDescent="0.3">
      <c r="B70" s="96" t="s">
        <v>160</v>
      </c>
      <c r="C70" s="103">
        <v>50</v>
      </c>
      <c r="E70" s="95"/>
      <c r="F70" s="96"/>
      <c r="G70" s="108"/>
    </row>
    <row r="71" spans="2:8" x14ac:dyDescent="0.3">
      <c r="B71" s="96" t="s">
        <v>161</v>
      </c>
      <c r="C71" s="103">
        <v>165</v>
      </c>
      <c r="E71" s="104" t="s">
        <v>52</v>
      </c>
      <c r="F71" s="96" t="s">
        <v>162</v>
      </c>
      <c r="G71" s="105">
        <v>161.69999999999999</v>
      </c>
    </row>
    <row r="72" spans="2:8" x14ac:dyDescent="0.3">
      <c r="B72" s="96" t="s">
        <v>163</v>
      </c>
      <c r="C72" s="103">
        <v>350</v>
      </c>
      <c r="E72" s="104" t="s">
        <v>52</v>
      </c>
      <c r="F72" s="96" t="s">
        <v>164</v>
      </c>
      <c r="G72" s="105">
        <v>349.8</v>
      </c>
    </row>
    <row r="73" spans="2:8" x14ac:dyDescent="0.3">
      <c r="B73" s="96" t="s">
        <v>165</v>
      </c>
      <c r="C73" s="103">
        <v>450</v>
      </c>
      <c r="E73" s="104" t="s">
        <v>166</v>
      </c>
      <c r="F73" s="96"/>
      <c r="G73" s="105">
        <v>450</v>
      </c>
    </row>
    <row r="74" spans="2:8" x14ac:dyDescent="0.3">
      <c r="B74" s="245" t="s">
        <v>269</v>
      </c>
      <c r="C74" s="103">
        <v>3500</v>
      </c>
      <c r="D74" s="88" t="s">
        <v>167</v>
      </c>
      <c r="E74" s="104"/>
      <c r="F74" s="96"/>
      <c r="G74" s="105"/>
    </row>
    <row r="75" spans="2:8" x14ac:dyDescent="0.3">
      <c r="B75" s="245" t="s">
        <v>270</v>
      </c>
      <c r="C75" s="103">
        <v>2500</v>
      </c>
      <c r="D75" s="88"/>
      <c r="E75" s="104"/>
      <c r="F75" s="96"/>
      <c r="G75" s="105"/>
    </row>
    <row r="76" spans="2:8" x14ac:dyDescent="0.3">
      <c r="B76" s="96" t="s">
        <v>168</v>
      </c>
      <c r="C76" s="103">
        <v>5000</v>
      </c>
      <c r="D76" s="88" t="s">
        <v>167</v>
      </c>
      <c r="E76" s="104"/>
      <c r="F76" s="96"/>
      <c r="G76" s="105"/>
    </row>
    <row r="77" spans="2:8" x14ac:dyDescent="0.3">
      <c r="B77" s="96" t="s">
        <v>169</v>
      </c>
      <c r="C77" s="103">
        <v>6000</v>
      </c>
      <c r="D77" s="88" t="s">
        <v>167</v>
      </c>
      <c r="E77" s="104"/>
      <c r="F77" s="96"/>
      <c r="G77" s="105"/>
    </row>
    <row r="78" spans="2:8" ht="15" thickBot="1" x14ac:dyDescent="0.35">
      <c r="B78" s="245" t="s">
        <v>274</v>
      </c>
      <c r="C78" s="103">
        <v>600</v>
      </c>
      <c r="E78" s="252" t="s">
        <v>271</v>
      </c>
      <c r="F78" s="253" t="s">
        <v>272</v>
      </c>
      <c r="G78" s="255">
        <v>391.5</v>
      </c>
      <c r="H78" s="107" t="s">
        <v>273</v>
      </c>
    </row>
  </sheetData>
  <mergeCells count="2">
    <mergeCell ref="B2:C2"/>
    <mergeCell ref="E2:G2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EACA-DE6D-4126-8F23-7906F24611E1}">
  <sheetPr>
    <tabColor rgb="FFFFFF00"/>
  </sheetPr>
  <dimension ref="B1:P38"/>
  <sheetViews>
    <sheetView zoomScale="90" zoomScaleNormal="90" workbookViewId="0">
      <selection activeCell="H24" sqref="H24"/>
    </sheetView>
  </sheetViews>
  <sheetFormatPr defaultColWidth="9.109375" defaultRowHeight="14.4" x14ac:dyDescent="0.3"/>
  <cols>
    <col min="1" max="1" width="5.6640625" style="123" customWidth="1"/>
    <col min="2" max="2" width="78.6640625" style="123" customWidth="1"/>
    <col min="3" max="3" width="13" style="123" customWidth="1"/>
    <col min="4" max="4" width="12.33203125" style="123" customWidth="1"/>
    <col min="5" max="5" width="6" style="123" customWidth="1"/>
    <col min="6" max="6" width="18.88671875" style="123" bestFit="1" customWidth="1"/>
    <col min="7" max="7" width="22.109375" style="124" bestFit="1" customWidth="1"/>
    <col min="8" max="8" width="21.6640625" style="123" bestFit="1" customWidth="1"/>
    <col min="9" max="9" width="12.6640625" style="124" customWidth="1"/>
    <col min="10" max="10" width="11.109375" style="125" bestFit="1" customWidth="1"/>
    <col min="11" max="11" width="21.6640625" style="123" customWidth="1"/>
    <col min="12" max="12" width="25" style="123" customWidth="1"/>
    <col min="13" max="13" width="53.88671875" style="123" customWidth="1"/>
    <col min="14" max="14" width="11.109375" style="126" bestFit="1" customWidth="1"/>
    <col min="15" max="15" width="11.109375" style="123" bestFit="1" customWidth="1"/>
    <col min="16" max="16384" width="9.109375" style="123"/>
  </cols>
  <sheetData>
    <row r="1" spans="2:16" ht="15" thickBot="1" x14ac:dyDescent="0.35"/>
    <row r="2" spans="2:16" s="128" customFormat="1" ht="30" customHeight="1" thickBot="1" x14ac:dyDescent="0.35">
      <c r="B2" s="237" t="s">
        <v>45</v>
      </c>
      <c r="C2" s="127" t="s">
        <v>177</v>
      </c>
      <c r="D2" s="236" t="s">
        <v>178</v>
      </c>
      <c r="F2" s="304" t="s">
        <v>46</v>
      </c>
      <c r="G2" s="305"/>
      <c r="H2" s="305"/>
      <c r="I2" s="306"/>
      <c r="J2" s="129"/>
      <c r="K2" s="304" t="s">
        <v>179</v>
      </c>
      <c r="L2" s="305"/>
      <c r="M2" s="305"/>
      <c r="N2" s="305"/>
      <c r="O2" s="306"/>
      <c r="P2" s="130"/>
    </row>
    <row r="3" spans="2:16" x14ac:dyDescent="0.3">
      <c r="B3" s="238" t="s">
        <v>180</v>
      </c>
      <c r="C3" s="131"/>
      <c r="D3" s="168"/>
      <c r="E3" s="133"/>
      <c r="F3" s="134" t="s">
        <v>49</v>
      </c>
      <c r="G3" s="135"/>
      <c r="H3" s="136" t="s">
        <v>181</v>
      </c>
      <c r="I3" s="136" t="s">
        <v>50</v>
      </c>
      <c r="K3" s="307" t="s">
        <v>182</v>
      </c>
      <c r="L3" s="137" t="s">
        <v>183</v>
      </c>
      <c r="M3" s="138" t="s">
        <v>184</v>
      </c>
      <c r="N3" s="139">
        <v>150</v>
      </c>
      <c r="O3" s="309">
        <f>N3+N4</f>
        <v>194.32999999999998</v>
      </c>
    </row>
    <row r="4" spans="2:16" ht="15" thickBot="1" x14ac:dyDescent="0.35">
      <c r="B4" s="132" t="s">
        <v>185</v>
      </c>
      <c r="C4" s="140">
        <v>1500</v>
      </c>
      <c r="D4" s="132"/>
      <c r="E4" s="133"/>
      <c r="F4" s="141"/>
      <c r="G4" s="142"/>
      <c r="H4" s="133"/>
      <c r="I4" s="143"/>
      <c r="K4" s="308"/>
      <c r="L4" s="144" t="s">
        <v>186</v>
      </c>
      <c r="M4" s="145"/>
      <c r="N4" s="146">
        <v>44.33</v>
      </c>
      <c r="O4" s="310"/>
    </row>
    <row r="5" spans="2:16" x14ac:dyDescent="0.3">
      <c r="B5" s="132" t="s">
        <v>187</v>
      </c>
      <c r="C5" s="140">
        <v>2500</v>
      </c>
      <c r="D5" s="132"/>
      <c r="E5" s="133"/>
      <c r="F5" s="141"/>
      <c r="G5" s="142"/>
      <c r="H5" s="133"/>
      <c r="I5" s="143"/>
      <c r="K5" s="311" t="s">
        <v>188</v>
      </c>
      <c r="L5" s="147" t="s">
        <v>189</v>
      </c>
      <c r="M5" s="148" t="s">
        <v>190</v>
      </c>
      <c r="N5" s="149">
        <v>136.69</v>
      </c>
      <c r="O5" s="313">
        <f>N5+N6</f>
        <v>188.59</v>
      </c>
    </row>
    <row r="6" spans="2:16" ht="14.25" customHeight="1" thickBot="1" x14ac:dyDescent="0.35">
      <c r="B6" s="239" t="s">
        <v>191</v>
      </c>
      <c r="C6" s="150">
        <v>1500</v>
      </c>
      <c r="D6" s="132"/>
      <c r="E6" s="133"/>
      <c r="F6" s="141"/>
      <c r="G6" s="142"/>
      <c r="H6" s="133"/>
      <c r="I6" s="143"/>
      <c r="K6" s="312"/>
      <c r="L6" s="151" t="s">
        <v>192</v>
      </c>
      <c r="M6" s="152"/>
      <c r="N6" s="153">
        <v>51.9</v>
      </c>
      <c r="O6" s="314"/>
    </row>
    <row r="7" spans="2:16" x14ac:dyDescent="0.3">
      <c r="B7" s="239" t="s">
        <v>193</v>
      </c>
      <c r="C7" s="150">
        <v>1000</v>
      </c>
      <c r="D7" s="132"/>
      <c r="E7" s="133"/>
      <c r="F7" s="141"/>
      <c r="G7" s="142"/>
      <c r="H7" s="133"/>
      <c r="I7" s="143"/>
      <c r="K7" s="307" t="s">
        <v>194</v>
      </c>
      <c r="L7" s="154" t="s">
        <v>195</v>
      </c>
      <c r="M7" s="154" t="s">
        <v>196</v>
      </c>
      <c r="N7" s="139">
        <v>170.45</v>
      </c>
      <c r="O7" s="309">
        <f>N7+N8+N9</f>
        <v>374.25</v>
      </c>
    </row>
    <row r="8" spans="2:16" x14ac:dyDescent="0.3">
      <c r="B8" s="239" t="s">
        <v>197</v>
      </c>
      <c r="C8" s="150">
        <v>500</v>
      </c>
      <c r="D8" s="132"/>
      <c r="E8" s="133"/>
      <c r="F8" s="141" t="s">
        <v>198</v>
      </c>
      <c r="G8" s="142"/>
      <c r="H8" s="133" t="s">
        <v>147</v>
      </c>
      <c r="I8" s="143">
        <v>493.11</v>
      </c>
      <c r="K8" s="319"/>
      <c r="L8" s="155" t="s">
        <v>199</v>
      </c>
      <c r="M8" s="155"/>
      <c r="N8" s="156">
        <f>51.9*2</f>
        <v>103.8</v>
      </c>
      <c r="O8" s="320"/>
    </row>
    <row r="9" spans="2:16" ht="15" thickBot="1" x14ac:dyDescent="0.35">
      <c r="B9" s="132" t="s">
        <v>200</v>
      </c>
      <c r="C9" s="140">
        <v>200</v>
      </c>
      <c r="D9" s="132"/>
      <c r="E9" s="133"/>
      <c r="F9" s="141" t="s">
        <v>201</v>
      </c>
      <c r="G9" s="157" t="s">
        <v>202</v>
      </c>
      <c r="H9" s="133" t="s">
        <v>203</v>
      </c>
      <c r="I9" s="143">
        <v>180.94</v>
      </c>
      <c r="K9" s="308"/>
      <c r="L9" s="158" t="s">
        <v>204</v>
      </c>
      <c r="M9" s="158" t="s">
        <v>205</v>
      </c>
      <c r="N9" s="159">
        <v>100</v>
      </c>
      <c r="O9" s="320"/>
    </row>
    <row r="10" spans="2:16" x14ac:dyDescent="0.3">
      <c r="B10" s="134" t="s">
        <v>254</v>
      </c>
      <c r="C10" s="140">
        <v>450</v>
      </c>
      <c r="D10" s="218"/>
      <c r="E10" s="133"/>
      <c r="F10" s="160" t="s">
        <v>206</v>
      </c>
      <c r="G10" s="161" t="s">
        <v>207</v>
      </c>
      <c r="H10" s="162" t="s">
        <v>203</v>
      </c>
      <c r="I10" s="163">
        <v>422.82</v>
      </c>
      <c r="K10" s="321" t="s">
        <v>208</v>
      </c>
      <c r="L10" s="164" t="s">
        <v>209</v>
      </c>
      <c r="M10" s="165" t="s">
        <v>210</v>
      </c>
      <c r="N10" s="149">
        <v>217.04</v>
      </c>
      <c r="O10" s="313">
        <f>N10+N11+N12</f>
        <v>672.74</v>
      </c>
    </row>
    <row r="11" spans="2:16" ht="18" customHeight="1" x14ac:dyDescent="0.3">
      <c r="B11" s="166"/>
      <c r="C11" s="167"/>
      <c r="D11" s="132"/>
      <c r="E11" s="169"/>
      <c r="F11" s="170" t="s">
        <v>211</v>
      </c>
      <c r="G11" s="171" t="s">
        <v>212</v>
      </c>
      <c r="H11" s="172"/>
      <c r="I11" s="173">
        <v>1216.78</v>
      </c>
      <c r="J11" s="174"/>
      <c r="K11" s="322"/>
      <c r="L11" s="175" t="s">
        <v>213</v>
      </c>
      <c r="M11" s="176"/>
      <c r="N11" s="177">
        <f>51.9*3</f>
        <v>155.69999999999999</v>
      </c>
      <c r="O11" s="324"/>
    </row>
    <row r="12" spans="2:16" ht="15" thickBot="1" x14ac:dyDescent="0.35">
      <c r="B12" s="141" t="s">
        <v>214</v>
      </c>
      <c r="C12" s="178">
        <v>3000</v>
      </c>
      <c r="D12" s="179">
        <f>I9+I11+I12+I13+O7</f>
        <v>2903.9700000000003</v>
      </c>
      <c r="E12" s="180"/>
      <c r="F12" s="181" t="s">
        <v>215</v>
      </c>
      <c r="G12" s="182" t="s">
        <v>216</v>
      </c>
      <c r="H12" s="183"/>
      <c r="I12" s="184">
        <v>976</v>
      </c>
      <c r="J12" s="174"/>
      <c r="K12" s="323"/>
      <c r="L12" s="185" t="s">
        <v>204</v>
      </c>
      <c r="M12" s="186" t="s">
        <v>205</v>
      </c>
      <c r="N12" s="153">
        <v>300</v>
      </c>
      <c r="O12" s="314"/>
    </row>
    <row r="13" spans="2:16" ht="15" customHeight="1" x14ac:dyDescent="0.3">
      <c r="B13" s="141"/>
      <c r="C13" s="133"/>
      <c r="D13" s="132"/>
      <c r="E13" s="133"/>
      <c r="F13" s="187" t="s">
        <v>217</v>
      </c>
      <c r="G13" s="188" t="s">
        <v>218</v>
      </c>
      <c r="H13" s="189"/>
      <c r="I13" s="184">
        <v>156</v>
      </c>
      <c r="J13" s="174"/>
      <c r="K13" s="325" t="s">
        <v>219</v>
      </c>
      <c r="L13" s="190" t="s">
        <v>220</v>
      </c>
      <c r="M13" s="191" t="s">
        <v>221</v>
      </c>
      <c r="N13" s="192">
        <f>427.3+128.85</f>
        <v>556.15</v>
      </c>
      <c r="O13" s="309">
        <f>N13+N14+N15</f>
        <v>1211.8499999999999</v>
      </c>
    </row>
    <row r="14" spans="2:16" ht="16.5" customHeight="1" x14ac:dyDescent="0.3">
      <c r="B14" s="141" t="s">
        <v>222</v>
      </c>
      <c r="C14" s="178">
        <v>5200</v>
      </c>
      <c r="D14" s="179">
        <f>I9+I11+I14+I15+O7</f>
        <v>5117.97</v>
      </c>
      <c r="E14" s="180"/>
      <c r="F14" s="193" t="s">
        <v>223</v>
      </c>
      <c r="G14" s="194" t="s">
        <v>224</v>
      </c>
      <c r="H14" s="195"/>
      <c r="I14" s="196">
        <v>2884</v>
      </c>
      <c r="J14" s="174"/>
      <c r="K14" s="326"/>
      <c r="L14" s="197" t="s">
        <v>213</v>
      </c>
      <c r="M14" s="198"/>
      <c r="N14" s="199">
        <f>51.9*3</f>
        <v>155.69999999999999</v>
      </c>
      <c r="O14" s="320"/>
    </row>
    <row r="15" spans="2:16" ht="15" thickBot="1" x14ac:dyDescent="0.35">
      <c r="B15" s="141"/>
      <c r="C15" s="178"/>
      <c r="D15" s="132"/>
      <c r="E15" s="133"/>
      <c r="F15" s="200" t="s">
        <v>225</v>
      </c>
      <c r="G15" s="201" t="s">
        <v>226</v>
      </c>
      <c r="H15" s="202"/>
      <c r="I15" s="196">
        <v>462</v>
      </c>
      <c r="J15" s="174"/>
      <c r="K15" s="327"/>
      <c r="L15" s="203" t="s">
        <v>204</v>
      </c>
      <c r="M15" s="204" t="s">
        <v>205</v>
      </c>
      <c r="N15" s="205">
        <v>500</v>
      </c>
      <c r="O15" s="310"/>
    </row>
    <row r="16" spans="2:16" x14ac:dyDescent="0.3">
      <c r="B16" s="141"/>
      <c r="C16" s="133"/>
      <c r="D16" s="132"/>
      <c r="E16" s="133"/>
      <c r="F16" s="181" t="s">
        <v>227</v>
      </c>
      <c r="G16" s="182" t="s">
        <v>228</v>
      </c>
      <c r="H16" s="183"/>
      <c r="I16" s="184">
        <v>4322</v>
      </c>
      <c r="J16" s="174"/>
    </row>
    <row r="17" spans="2:10" x14ac:dyDescent="0.3">
      <c r="B17" s="160"/>
      <c r="C17" s="162"/>
      <c r="D17" s="134"/>
      <c r="E17" s="162"/>
      <c r="F17" s="187" t="s">
        <v>229</v>
      </c>
      <c r="G17" s="188" t="s">
        <v>230</v>
      </c>
      <c r="H17" s="189"/>
      <c r="I17" s="184">
        <v>692</v>
      </c>
      <c r="J17" s="174"/>
    </row>
    <row r="18" spans="2:10" x14ac:dyDescent="0.3">
      <c r="B18" s="166" t="s">
        <v>231</v>
      </c>
      <c r="C18" s="206">
        <f>I18+I19</f>
        <v>4674</v>
      </c>
      <c r="D18" s="168"/>
      <c r="E18" s="169"/>
      <c r="F18" s="166" t="s">
        <v>232</v>
      </c>
      <c r="G18" s="207"/>
      <c r="H18" s="169"/>
      <c r="I18" s="208">
        <v>4030</v>
      </c>
    </row>
    <row r="19" spans="2:10" x14ac:dyDescent="0.3">
      <c r="B19" s="141"/>
      <c r="C19" s="178"/>
      <c r="D19" s="132"/>
      <c r="E19" s="133"/>
      <c r="F19" s="141" t="s">
        <v>233</v>
      </c>
      <c r="G19" s="142"/>
      <c r="H19" s="133"/>
      <c r="I19" s="143">
        <v>644</v>
      </c>
    </row>
    <row r="20" spans="2:10" x14ac:dyDescent="0.3">
      <c r="B20" s="141" t="s">
        <v>234</v>
      </c>
      <c r="C20" s="178">
        <f>I20+I21</f>
        <v>9588</v>
      </c>
      <c r="D20" s="132"/>
      <c r="E20" s="133"/>
      <c r="F20" s="141" t="s">
        <v>235</v>
      </c>
      <c r="G20" s="142"/>
      <c r="H20" s="133"/>
      <c r="I20" s="143">
        <v>8266</v>
      </c>
    </row>
    <row r="21" spans="2:10" x14ac:dyDescent="0.3">
      <c r="B21" s="160"/>
      <c r="C21" s="162"/>
      <c r="D21" s="134"/>
      <c r="E21" s="162"/>
      <c r="F21" s="160" t="s">
        <v>236</v>
      </c>
      <c r="G21" s="209"/>
      <c r="H21" s="162"/>
      <c r="I21" s="163">
        <v>1322</v>
      </c>
    </row>
    <row r="22" spans="2:10" x14ac:dyDescent="0.3">
      <c r="B22" s="166" t="s">
        <v>237</v>
      </c>
      <c r="C22" s="142">
        <v>310</v>
      </c>
      <c r="D22" s="168"/>
      <c r="E22" s="169"/>
      <c r="F22" s="166" t="s">
        <v>238</v>
      </c>
      <c r="G22" s="207" t="s">
        <v>239</v>
      </c>
      <c r="H22" s="169" t="s">
        <v>74</v>
      </c>
      <c r="I22" s="208">
        <v>309.49</v>
      </c>
    </row>
    <row r="23" spans="2:10" x14ac:dyDescent="0.3">
      <c r="B23" s="141"/>
      <c r="C23" s="142"/>
      <c r="D23" s="132"/>
      <c r="E23" s="133"/>
      <c r="F23" s="141" t="s">
        <v>240</v>
      </c>
      <c r="G23" s="142" t="s">
        <v>241</v>
      </c>
      <c r="H23" s="133" t="s">
        <v>74</v>
      </c>
      <c r="I23" s="143">
        <v>309.49</v>
      </c>
    </row>
    <row r="24" spans="2:10" ht="29.25" customHeight="1" x14ac:dyDescent="0.3">
      <c r="B24" s="210" t="s">
        <v>242</v>
      </c>
      <c r="C24" s="142">
        <v>650</v>
      </c>
      <c r="D24" s="179">
        <f>I24+O7</f>
        <v>675.73</v>
      </c>
      <c r="E24" s="211"/>
      <c r="F24" s="141" t="s">
        <v>243</v>
      </c>
      <c r="G24" s="142"/>
      <c r="H24" s="133" t="s">
        <v>74</v>
      </c>
      <c r="I24" s="143">
        <v>301.48</v>
      </c>
    </row>
    <row r="25" spans="2:10" ht="29.25" customHeight="1" x14ac:dyDescent="0.3">
      <c r="B25" s="210" t="s">
        <v>244</v>
      </c>
      <c r="C25" s="142">
        <v>1100</v>
      </c>
      <c r="D25" s="179">
        <f>I25+O7</f>
        <v>1037.72</v>
      </c>
      <c r="E25" s="211"/>
      <c r="F25" s="141" t="s">
        <v>245</v>
      </c>
      <c r="G25" s="142"/>
      <c r="H25" s="133" t="s">
        <v>74</v>
      </c>
      <c r="I25" s="143">
        <v>663.47</v>
      </c>
    </row>
    <row r="26" spans="2:10" ht="29.25" customHeight="1" x14ac:dyDescent="0.3">
      <c r="B26" s="141" t="s">
        <v>255</v>
      </c>
      <c r="C26" s="142">
        <v>2000</v>
      </c>
      <c r="D26" s="241">
        <f>I25+I25+O10</f>
        <v>1999.68</v>
      </c>
      <c r="E26" s="211"/>
      <c r="F26" s="141"/>
      <c r="G26" s="142"/>
      <c r="H26" s="133"/>
      <c r="I26" s="143"/>
    </row>
    <row r="27" spans="2:10" x14ac:dyDescent="0.3">
      <c r="B27" s="225" t="s">
        <v>246</v>
      </c>
      <c r="C27" s="207">
        <v>355</v>
      </c>
      <c r="D27" s="242"/>
      <c r="F27" s="212" t="s">
        <v>107</v>
      </c>
      <c r="G27" s="214"/>
      <c r="H27" s="123" t="s">
        <v>74</v>
      </c>
      <c r="I27" s="215">
        <v>353.23</v>
      </c>
    </row>
    <row r="28" spans="2:10" x14ac:dyDescent="0.3">
      <c r="B28" s="212"/>
      <c r="C28" s="142">
        <v>255</v>
      </c>
      <c r="D28" s="213"/>
      <c r="F28" s="212" t="s">
        <v>256</v>
      </c>
      <c r="G28" s="214"/>
      <c r="H28" s="123" t="s">
        <v>74</v>
      </c>
      <c r="I28" s="215">
        <v>253.33</v>
      </c>
    </row>
    <row r="29" spans="2:10" x14ac:dyDescent="0.3">
      <c r="B29" s="216"/>
      <c r="C29" s="243"/>
      <c r="D29" s="240"/>
      <c r="E29" s="217"/>
      <c r="F29" s="216" t="s">
        <v>110</v>
      </c>
      <c r="G29" s="219"/>
      <c r="H29" s="217" t="s">
        <v>74</v>
      </c>
      <c r="I29" s="220">
        <v>193.68</v>
      </c>
    </row>
    <row r="30" spans="2:10" x14ac:dyDescent="0.3">
      <c r="D30" s="213"/>
    </row>
    <row r="31" spans="2:10" x14ac:dyDescent="0.3">
      <c r="B31" s="221" t="s">
        <v>247</v>
      </c>
      <c r="D31" s="213"/>
    </row>
    <row r="32" spans="2:10" x14ac:dyDescent="0.3">
      <c r="B32" s="222" t="s">
        <v>248</v>
      </c>
      <c r="C32" s="223"/>
      <c r="D32" s="224"/>
    </row>
    <row r="33" spans="2:11" x14ac:dyDescent="0.3">
      <c r="B33" s="225" t="s">
        <v>249</v>
      </c>
      <c r="C33" s="226">
        <v>2900</v>
      </c>
      <c r="D33" s="227">
        <f>K33+O10</f>
        <v>2863.2299999999996</v>
      </c>
      <c r="E33" s="228"/>
      <c r="F33" s="155" t="s">
        <v>250</v>
      </c>
      <c r="G33" s="229"/>
      <c r="H33" s="184">
        <v>824.67</v>
      </c>
      <c r="I33" s="230">
        <v>1</v>
      </c>
      <c r="J33" s="231">
        <f>H33*I33</f>
        <v>824.67</v>
      </c>
      <c r="K33" s="315">
        <f>J33+J34</f>
        <v>2190.4899999999998</v>
      </c>
    </row>
    <row r="34" spans="2:11" x14ac:dyDescent="0.3">
      <c r="B34" s="216"/>
      <c r="C34" s="135"/>
      <c r="D34" s="232"/>
      <c r="F34" s="155" t="s">
        <v>251</v>
      </c>
      <c r="G34" s="229"/>
      <c r="H34" s="184">
        <v>682.91</v>
      </c>
      <c r="I34" s="230">
        <v>2</v>
      </c>
      <c r="J34" s="231">
        <f t="shared" ref="J34:J38" si="0">H34*I34</f>
        <v>1365.82</v>
      </c>
      <c r="K34" s="316"/>
    </row>
    <row r="35" spans="2:11" x14ac:dyDescent="0.3">
      <c r="B35" s="225" t="s">
        <v>252</v>
      </c>
      <c r="C35" s="226">
        <v>4250</v>
      </c>
      <c r="D35" s="227">
        <f>K35+O10</f>
        <v>4229.05</v>
      </c>
      <c r="E35" s="228"/>
      <c r="F35" s="176" t="s">
        <v>250</v>
      </c>
      <c r="G35" s="233"/>
      <c r="H35" s="196">
        <v>824.67</v>
      </c>
      <c r="I35" s="234">
        <v>1</v>
      </c>
      <c r="J35" s="235">
        <f t="shared" si="0"/>
        <v>824.67</v>
      </c>
      <c r="K35" s="317">
        <f>J35+J36</f>
        <v>3556.31</v>
      </c>
    </row>
    <row r="36" spans="2:11" x14ac:dyDescent="0.3">
      <c r="B36" s="216"/>
      <c r="C36" s="135"/>
      <c r="D36" s="232"/>
      <c r="F36" s="176" t="s">
        <v>251</v>
      </c>
      <c r="G36" s="233"/>
      <c r="H36" s="196">
        <v>682.91</v>
      </c>
      <c r="I36" s="234">
        <v>4</v>
      </c>
      <c r="J36" s="235">
        <f t="shared" si="0"/>
        <v>2731.64</v>
      </c>
      <c r="K36" s="318"/>
    </row>
    <row r="37" spans="2:11" x14ac:dyDescent="0.3">
      <c r="B37" s="225" t="s">
        <v>253</v>
      </c>
      <c r="C37" s="226">
        <v>7500</v>
      </c>
      <c r="D37" s="227">
        <f>K37+O13</f>
        <v>7499.7999999999993</v>
      </c>
      <c r="E37" s="228"/>
      <c r="F37" s="155" t="s">
        <v>250</v>
      </c>
      <c r="G37" s="229"/>
      <c r="H37" s="184">
        <v>824.67</v>
      </c>
      <c r="I37" s="230">
        <v>1</v>
      </c>
      <c r="J37" s="231">
        <f t="shared" si="0"/>
        <v>824.67</v>
      </c>
      <c r="K37" s="315">
        <f>J37+J38</f>
        <v>6287.95</v>
      </c>
    </row>
    <row r="38" spans="2:11" x14ac:dyDescent="0.3">
      <c r="B38" s="216"/>
      <c r="C38" s="136"/>
      <c r="D38" s="232"/>
      <c r="F38" s="155" t="s">
        <v>251</v>
      </c>
      <c r="G38" s="229"/>
      <c r="H38" s="184">
        <v>682.91</v>
      </c>
      <c r="I38" s="230">
        <v>8</v>
      </c>
      <c r="J38" s="231">
        <f t="shared" si="0"/>
        <v>5463.28</v>
      </c>
      <c r="K38" s="316"/>
    </row>
  </sheetData>
  <mergeCells count="15">
    <mergeCell ref="K33:K34"/>
    <mergeCell ref="K35:K36"/>
    <mergeCell ref="K37:K38"/>
    <mergeCell ref="K7:K9"/>
    <mergeCell ref="O7:O9"/>
    <mergeCell ref="K10:K12"/>
    <mergeCell ref="O10:O12"/>
    <mergeCell ref="K13:K15"/>
    <mergeCell ref="O13:O15"/>
    <mergeCell ref="F2:I2"/>
    <mergeCell ref="K2:O2"/>
    <mergeCell ref="K3:K4"/>
    <mergeCell ref="O3:O4"/>
    <mergeCell ref="K5:K6"/>
    <mergeCell ref="O5:O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6CFD-A0DF-49D3-A936-D0A7711FEA5E}">
  <sheetPr>
    <tabColor rgb="FFFFFF00"/>
  </sheetPr>
  <dimension ref="B2:O58"/>
  <sheetViews>
    <sheetView workbookViewId="0">
      <selection activeCell="K9" sqref="K9"/>
    </sheetView>
  </sheetViews>
  <sheetFormatPr defaultRowHeight="14.4" x14ac:dyDescent="0.3"/>
  <cols>
    <col min="2" max="2" width="47.5546875" customWidth="1"/>
    <col min="3" max="3" width="12.33203125" customWidth="1"/>
    <col min="5" max="5" width="33.44140625" bestFit="1" customWidth="1"/>
    <col min="6" max="6" width="15.88671875" customWidth="1"/>
    <col min="7" max="7" width="11.33203125" customWidth="1"/>
    <col min="8" max="8" width="40.44140625" bestFit="1" customWidth="1"/>
    <col min="9" max="9" width="10.88671875" bestFit="1" customWidth="1"/>
    <col min="12" max="12" width="10.88671875" bestFit="1" customWidth="1"/>
  </cols>
  <sheetData>
    <row r="2" spans="2:15" s="87" customFormat="1" x14ac:dyDescent="0.3">
      <c r="B2" s="119" t="s">
        <v>170</v>
      </c>
      <c r="C2" s="96"/>
      <c r="H2" s="88"/>
      <c r="J2" s="88"/>
      <c r="O2" s="89"/>
    </row>
    <row r="3" spans="2:15" s="87" customFormat="1" x14ac:dyDescent="0.3">
      <c r="B3" s="96" t="s">
        <v>171</v>
      </c>
      <c r="C3" s="103">
        <v>200</v>
      </c>
      <c r="H3" s="88"/>
      <c r="J3" s="88"/>
      <c r="O3" s="89"/>
    </row>
    <row r="4" spans="2:15" s="87" customFormat="1" x14ac:dyDescent="0.3">
      <c r="B4" s="119" t="s">
        <v>329</v>
      </c>
      <c r="C4" s="103"/>
      <c r="H4" s="88"/>
      <c r="J4" s="88"/>
      <c r="O4" s="89"/>
    </row>
    <row r="5" spans="2:15" s="87" customFormat="1" x14ac:dyDescent="0.3">
      <c r="B5" s="96" t="s">
        <v>317</v>
      </c>
      <c r="C5" s="103">
        <v>270</v>
      </c>
      <c r="E5" s="87" t="s">
        <v>318</v>
      </c>
      <c r="F5" s="87">
        <v>269.92</v>
      </c>
      <c r="H5" s="88"/>
      <c r="J5" s="88"/>
      <c r="O5" s="89"/>
    </row>
    <row r="6" spans="2:15" s="87" customFormat="1" x14ac:dyDescent="0.3">
      <c r="B6" s="96" t="s">
        <v>171</v>
      </c>
      <c r="C6" s="103">
        <v>310</v>
      </c>
      <c r="E6" s="87" t="s">
        <v>314</v>
      </c>
      <c r="F6" s="87">
        <v>309.42</v>
      </c>
      <c r="H6" s="88"/>
      <c r="J6" s="88"/>
      <c r="O6" s="89"/>
    </row>
    <row r="7" spans="2:15" s="87" customFormat="1" x14ac:dyDescent="0.3">
      <c r="B7" s="96" t="s">
        <v>172</v>
      </c>
      <c r="C7" s="103">
        <v>380</v>
      </c>
      <c r="E7" s="87" t="s">
        <v>315</v>
      </c>
      <c r="F7" s="87">
        <v>378.33</v>
      </c>
      <c r="H7" s="88"/>
      <c r="J7" s="88"/>
      <c r="O7" s="89"/>
    </row>
    <row r="8" spans="2:15" s="87" customFormat="1" x14ac:dyDescent="0.3">
      <c r="B8" s="245" t="s">
        <v>291</v>
      </c>
      <c r="C8" s="103">
        <v>500</v>
      </c>
      <c r="E8" s="87" t="s">
        <v>316</v>
      </c>
      <c r="F8" s="87">
        <v>457.95</v>
      </c>
      <c r="H8" s="88"/>
      <c r="J8" s="88"/>
      <c r="O8" s="89"/>
    </row>
    <row r="9" spans="2:15" s="87" customFormat="1" x14ac:dyDescent="0.3">
      <c r="B9" s="96" t="s">
        <v>173</v>
      </c>
      <c r="C9" s="103">
        <v>805</v>
      </c>
      <c r="E9" s="87" t="s">
        <v>313</v>
      </c>
      <c r="F9" s="87">
        <v>802.62</v>
      </c>
      <c r="H9" s="88"/>
      <c r="J9" s="88"/>
      <c r="O9" s="89"/>
    </row>
    <row r="10" spans="2:15" s="87" customFormat="1" x14ac:dyDescent="0.3">
      <c r="B10" s="96" t="s">
        <v>174</v>
      </c>
      <c r="C10" s="103">
        <v>1200</v>
      </c>
      <c r="H10" s="88"/>
      <c r="J10" s="88"/>
      <c r="O10" s="89"/>
    </row>
    <row r="11" spans="2:15" s="87" customFormat="1" x14ac:dyDescent="0.3">
      <c r="B11" s="96" t="s">
        <v>175</v>
      </c>
      <c r="C11" s="103">
        <v>1500</v>
      </c>
      <c r="H11" s="88"/>
      <c r="J11" s="88"/>
      <c r="O11" s="89"/>
    </row>
    <row r="12" spans="2:15" s="87" customFormat="1" x14ac:dyDescent="0.3">
      <c r="B12" s="119" t="s">
        <v>176</v>
      </c>
      <c r="C12" s="103"/>
      <c r="H12" s="88"/>
      <c r="J12" s="88"/>
      <c r="O12" s="89"/>
    </row>
    <row r="13" spans="2:15" s="87" customFormat="1" x14ac:dyDescent="0.3">
      <c r="B13" s="119" t="s">
        <v>171</v>
      </c>
      <c r="C13" s="103">
        <v>200</v>
      </c>
      <c r="E13" s="265"/>
      <c r="H13" s="88"/>
      <c r="J13" s="88"/>
      <c r="O13" s="89"/>
    </row>
    <row r="14" spans="2:15" s="87" customFormat="1" x14ac:dyDescent="0.3">
      <c r="B14" s="96" t="s">
        <v>172</v>
      </c>
      <c r="C14" s="103">
        <v>300</v>
      </c>
      <c r="H14" s="88"/>
      <c r="J14" s="88"/>
      <c r="O14" s="89"/>
    </row>
    <row r="15" spans="2:15" s="87" customFormat="1" x14ac:dyDescent="0.3">
      <c r="B15" s="245" t="s">
        <v>291</v>
      </c>
      <c r="C15" s="103">
        <v>400</v>
      </c>
      <c r="H15" s="88"/>
      <c r="J15" s="88"/>
      <c r="O15" s="89"/>
    </row>
    <row r="16" spans="2:15" s="87" customFormat="1" x14ac:dyDescent="0.3">
      <c r="B16" s="96" t="s">
        <v>173</v>
      </c>
      <c r="C16" s="103">
        <v>692</v>
      </c>
      <c r="E16" s="87" t="s">
        <v>328</v>
      </c>
      <c r="F16" s="87">
        <v>691.28</v>
      </c>
      <c r="H16" s="88"/>
      <c r="J16" s="88"/>
      <c r="O16" s="89"/>
    </row>
    <row r="17" spans="2:15" s="87" customFormat="1" x14ac:dyDescent="0.3">
      <c r="B17" s="96" t="s">
        <v>174</v>
      </c>
      <c r="C17" s="103">
        <v>870</v>
      </c>
      <c r="E17" s="87" t="s">
        <v>319</v>
      </c>
      <c r="F17" s="87">
        <v>867.67</v>
      </c>
      <c r="H17" s="88"/>
      <c r="J17" s="88"/>
      <c r="O17" s="89"/>
    </row>
    <row r="18" spans="2:15" s="87" customFormat="1" x14ac:dyDescent="0.3">
      <c r="B18" s="96" t="s">
        <v>175</v>
      </c>
      <c r="C18" s="103">
        <v>1090</v>
      </c>
      <c r="E18" s="87" t="s">
        <v>320</v>
      </c>
      <c r="F18" s="87">
        <v>1089.3599999999999</v>
      </c>
      <c r="H18" s="88"/>
      <c r="J18" s="88"/>
      <c r="O18" s="89"/>
    </row>
    <row r="19" spans="2:15" s="87" customFormat="1" x14ac:dyDescent="0.3">
      <c r="H19" s="88"/>
      <c r="J19" s="88"/>
      <c r="O19" s="89"/>
    </row>
    <row r="20" spans="2:15" s="87" customFormat="1" x14ac:dyDescent="0.3">
      <c r="B20" s="261" t="s">
        <v>310</v>
      </c>
      <c r="E20" s="256" t="s">
        <v>275</v>
      </c>
      <c r="H20" s="261" t="s">
        <v>309</v>
      </c>
      <c r="K20" s="256" t="s">
        <v>275</v>
      </c>
      <c r="O20" s="89"/>
    </row>
    <row r="21" spans="2:15" s="87" customFormat="1" x14ac:dyDescent="0.3">
      <c r="B21" s="260" t="s">
        <v>322</v>
      </c>
      <c r="C21" s="264">
        <f>F21*1.25</f>
        <v>1390.425</v>
      </c>
      <c r="E21" s="245" t="s">
        <v>321</v>
      </c>
      <c r="F21" s="103">
        <v>1112.3399999999999</v>
      </c>
      <c r="G21" s="88"/>
      <c r="H21" s="245" t="s">
        <v>276</v>
      </c>
      <c r="I21" s="103">
        <f t="shared" ref="I21:I35" si="0">L21*1.25</f>
        <v>1576.7875000000001</v>
      </c>
      <c r="K21" s="245" t="s">
        <v>277</v>
      </c>
      <c r="L21" s="103">
        <v>1261.43</v>
      </c>
      <c r="O21" s="89"/>
    </row>
    <row r="22" spans="2:15" s="87" customFormat="1" x14ac:dyDescent="0.3">
      <c r="B22" s="262" t="s">
        <v>325</v>
      </c>
      <c r="C22" s="103">
        <f t="shared" ref="C22:C24" si="1">F22*1.25</f>
        <v>2668.7875000000004</v>
      </c>
      <c r="E22" s="245" t="s">
        <v>311</v>
      </c>
      <c r="F22" s="103">
        <v>2135.0300000000002</v>
      </c>
      <c r="H22" s="245" t="s">
        <v>278</v>
      </c>
      <c r="I22" s="103">
        <f t="shared" si="0"/>
        <v>1929.7125000000001</v>
      </c>
      <c r="K22" s="245" t="s">
        <v>277</v>
      </c>
      <c r="L22" s="103">
        <v>1543.77</v>
      </c>
      <c r="O22" s="89"/>
    </row>
    <row r="23" spans="2:15" s="87" customFormat="1" x14ac:dyDescent="0.3">
      <c r="B23" s="260" t="s">
        <v>324</v>
      </c>
      <c r="C23" s="264">
        <f t="shared" si="1"/>
        <v>1684.5249999999999</v>
      </c>
      <c r="E23" s="245" t="s">
        <v>323</v>
      </c>
      <c r="F23" s="103">
        <v>1347.62</v>
      </c>
      <c r="H23" s="245" t="s">
        <v>279</v>
      </c>
      <c r="I23" s="103">
        <f t="shared" si="0"/>
        <v>2684.9124999999999</v>
      </c>
      <c r="K23" s="245" t="s">
        <v>277</v>
      </c>
      <c r="L23" s="103">
        <v>2147.9299999999998</v>
      </c>
      <c r="O23" s="89"/>
    </row>
    <row r="24" spans="2:15" s="87" customFormat="1" x14ac:dyDescent="0.3">
      <c r="B24" s="262" t="s">
        <v>325</v>
      </c>
      <c r="C24" s="103">
        <f t="shared" si="1"/>
        <v>5930.6375000000007</v>
      </c>
      <c r="E24" s="245" t="s">
        <v>312</v>
      </c>
      <c r="F24" s="103">
        <v>4744.51</v>
      </c>
      <c r="H24" s="245" t="s">
        <v>280</v>
      </c>
      <c r="I24" s="103">
        <f t="shared" si="0"/>
        <v>3032</v>
      </c>
      <c r="K24" s="245" t="s">
        <v>277</v>
      </c>
      <c r="L24" s="103">
        <v>2425.6</v>
      </c>
      <c r="O24" s="89"/>
    </row>
    <row r="25" spans="2:15" s="87" customFormat="1" x14ac:dyDescent="0.3">
      <c r="B25" s="260" t="s">
        <v>327</v>
      </c>
      <c r="C25" s="264">
        <f t="shared" ref="C25" si="2">F25*1.25</f>
        <v>4949.2124999999996</v>
      </c>
      <c r="E25" s="245" t="s">
        <v>323</v>
      </c>
      <c r="F25" s="263">
        <v>3959.37</v>
      </c>
      <c r="H25" s="245" t="s">
        <v>281</v>
      </c>
      <c r="I25" s="103">
        <f t="shared" si="0"/>
        <v>4359.8125</v>
      </c>
      <c r="K25" s="245" t="s">
        <v>277</v>
      </c>
      <c r="L25" s="103">
        <v>3487.85</v>
      </c>
      <c r="O25" s="89"/>
    </row>
    <row r="26" spans="2:15" s="87" customFormat="1" x14ac:dyDescent="0.3">
      <c r="B26" s="262" t="s">
        <v>325</v>
      </c>
      <c r="C26" s="103">
        <f>F26*1.25</f>
        <v>6733.6625000000004</v>
      </c>
      <c r="E26" s="245" t="s">
        <v>326</v>
      </c>
      <c r="F26" s="103">
        <v>5386.93</v>
      </c>
      <c r="H26" s="245" t="s">
        <v>282</v>
      </c>
      <c r="I26" s="103">
        <f t="shared" si="0"/>
        <v>555.1875</v>
      </c>
      <c r="K26" s="245" t="s">
        <v>277</v>
      </c>
      <c r="L26" s="103">
        <v>444.15</v>
      </c>
      <c r="O26" s="89"/>
    </row>
    <row r="27" spans="2:15" s="87" customFormat="1" x14ac:dyDescent="0.3">
      <c r="B27" s="262"/>
      <c r="C27" s="103"/>
      <c r="E27" s="245"/>
      <c r="F27" s="103"/>
      <c r="H27" s="245" t="s">
        <v>283</v>
      </c>
      <c r="I27" s="103">
        <f t="shared" si="0"/>
        <v>7942.9624999999996</v>
      </c>
      <c r="K27" s="245" t="s">
        <v>277</v>
      </c>
      <c r="L27" s="103">
        <v>6354.37</v>
      </c>
      <c r="O27" s="89"/>
    </row>
    <row r="28" spans="2:15" s="87" customFormat="1" x14ac:dyDescent="0.3">
      <c r="B28" s="262"/>
      <c r="C28" s="103"/>
      <c r="E28" s="245"/>
      <c r="F28" s="103"/>
      <c r="H28" s="245" t="s">
        <v>284</v>
      </c>
      <c r="I28" s="103">
        <f t="shared" si="0"/>
        <v>10326.1875</v>
      </c>
      <c r="K28" s="245" t="s">
        <v>277</v>
      </c>
      <c r="L28" s="103">
        <v>8260.9500000000007</v>
      </c>
      <c r="O28" s="89"/>
    </row>
    <row r="29" spans="2:15" s="87" customFormat="1" x14ac:dyDescent="0.3">
      <c r="B29" s="245"/>
      <c r="C29" s="103"/>
      <c r="E29" s="96"/>
      <c r="F29" s="96"/>
      <c r="H29" s="245"/>
      <c r="I29" s="103">
        <f t="shared" si="0"/>
        <v>0</v>
      </c>
      <c r="K29" s="96"/>
      <c r="L29" s="96"/>
      <c r="O29" s="89"/>
    </row>
    <row r="30" spans="2:15" s="87" customFormat="1" x14ac:dyDescent="0.3">
      <c r="B30" s="245"/>
      <c r="C30" s="103"/>
      <c r="E30" s="245"/>
      <c r="F30" s="103"/>
      <c r="H30" s="245" t="s">
        <v>285</v>
      </c>
      <c r="I30" s="103">
        <f t="shared" si="0"/>
        <v>2910.9375</v>
      </c>
      <c r="K30" s="245" t="s">
        <v>277</v>
      </c>
      <c r="L30" s="103">
        <v>2328.75</v>
      </c>
      <c r="O30" s="89"/>
    </row>
    <row r="31" spans="2:15" s="87" customFormat="1" x14ac:dyDescent="0.3">
      <c r="B31" s="245"/>
      <c r="C31" s="103"/>
      <c r="E31" s="245"/>
      <c r="F31" s="103"/>
      <c r="H31" s="245" t="s">
        <v>286</v>
      </c>
      <c r="I31" s="103">
        <f t="shared" si="0"/>
        <v>3722.7624999999998</v>
      </c>
      <c r="K31" s="245" t="s">
        <v>277</v>
      </c>
      <c r="L31" s="103">
        <v>2978.21</v>
      </c>
      <c r="O31" s="89"/>
    </row>
    <row r="32" spans="2:15" s="87" customFormat="1" x14ac:dyDescent="0.3">
      <c r="B32" s="262"/>
      <c r="C32" s="103"/>
      <c r="E32" s="245"/>
      <c r="F32" s="103"/>
      <c r="H32" s="245" t="s">
        <v>287</v>
      </c>
      <c r="I32" s="103">
        <f t="shared" si="0"/>
        <v>4558.0124999999998</v>
      </c>
      <c r="K32" s="245" t="s">
        <v>277</v>
      </c>
      <c r="L32" s="103">
        <v>3646.41</v>
      </c>
      <c r="O32" s="89"/>
    </row>
    <row r="33" spans="2:15" s="87" customFormat="1" x14ac:dyDescent="0.3">
      <c r="B33" s="245"/>
      <c r="C33" s="103"/>
      <c r="E33" s="245"/>
      <c r="F33" s="103"/>
      <c r="H33" s="245" t="s">
        <v>288</v>
      </c>
      <c r="I33" s="103">
        <f t="shared" si="0"/>
        <v>5661.75</v>
      </c>
      <c r="K33" s="245" t="s">
        <v>277</v>
      </c>
      <c r="L33" s="103">
        <v>4529.3999999999996</v>
      </c>
      <c r="O33" s="89"/>
    </row>
    <row r="34" spans="2:15" s="87" customFormat="1" x14ac:dyDescent="0.3">
      <c r="B34" s="245"/>
      <c r="C34" s="103"/>
      <c r="E34" s="245"/>
      <c r="F34" s="103"/>
      <c r="H34" s="245" t="s">
        <v>289</v>
      </c>
      <c r="I34" s="103">
        <f t="shared" si="0"/>
        <v>8679.2124999999996</v>
      </c>
      <c r="K34" s="245" t="s">
        <v>277</v>
      </c>
      <c r="L34" s="103">
        <v>6943.37</v>
      </c>
      <c r="O34" s="89"/>
    </row>
    <row r="35" spans="2:15" s="87" customFormat="1" x14ac:dyDescent="0.3">
      <c r="B35" s="245"/>
      <c r="C35" s="103"/>
      <c r="E35" s="245"/>
      <c r="F35" s="103"/>
      <c r="H35" s="245" t="s">
        <v>290</v>
      </c>
      <c r="I35" s="103">
        <f t="shared" si="0"/>
        <v>14038.412499999999</v>
      </c>
      <c r="K35" s="245" t="s">
        <v>277</v>
      </c>
      <c r="L35" s="103">
        <v>11230.73</v>
      </c>
      <c r="O35" s="89"/>
    </row>
    <row r="36" spans="2:15" s="87" customFormat="1" x14ac:dyDescent="0.3">
      <c r="E36" s="96"/>
      <c r="F36" s="96"/>
      <c r="K36" s="96"/>
      <c r="L36" s="96"/>
      <c r="O36" s="89"/>
    </row>
    <row r="37" spans="2:15" s="87" customFormat="1" x14ac:dyDescent="0.3">
      <c r="B37" s="257" t="s">
        <v>299</v>
      </c>
      <c r="H37" s="88"/>
      <c r="J37" s="88"/>
      <c r="O37" s="89"/>
    </row>
    <row r="38" spans="2:15" s="87" customFormat="1" x14ac:dyDescent="0.3">
      <c r="B38" s="245" t="s">
        <v>295</v>
      </c>
      <c r="C38" s="103">
        <v>4500</v>
      </c>
      <c r="E38" s="256" t="s">
        <v>292</v>
      </c>
      <c r="G38" s="103">
        <v>3703.5</v>
      </c>
      <c r="H38" s="88"/>
      <c r="J38" s="88"/>
      <c r="O38" s="89"/>
    </row>
    <row r="39" spans="2:15" s="87" customFormat="1" x14ac:dyDescent="0.3">
      <c r="B39" s="245"/>
      <c r="C39" s="103"/>
      <c r="E39" s="256" t="s">
        <v>293</v>
      </c>
      <c r="G39" s="103">
        <v>4194.75</v>
      </c>
      <c r="H39" s="88"/>
      <c r="J39" s="88"/>
      <c r="O39" s="89"/>
    </row>
    <row r="40" spans="2:15" s="87" customFormat="1" x14ac:dyDescent="0.3">
      <c r="B40" s="245" t="s">
        <v>296</v>
      </c>
      <c r="C40" s="103">
        <v>6500</v>
      </c>
      <c r="E40" s="256" t="s">
        <v>294</v>
      </c>
      <c r="G40" s="103">
        <v>6574.5</v>
      </c>
      <c r="H40" s="88"/>
      <c r="J40" s="88"/>
      <c r="O40" s="89"/>
    </row>
    <row r="41" spans="2:15" s="87" customFormat="1" x14ac:dyDescent="0.3">
      <c r="B41" s="245" t="s">
        <v>297</v>
      </c>
      <c r="C41" s="103">
        <v>7350</v>
      </c>
      <c r="E41" s="256" t="s">
        <v>294</v>
      </c>
      <c r="G41" s="103">
        <v>7350.75</v>
      </c>
      <c r="H41" s="88"/>
      <c r="J41" s="88"/>
      <c r="O41" s="89"/>
    </row>
    <row r="42" spans="2:15" s="87" customFormat="1" x14ac:dyDescent="0.3">
      <c r="B42" s="245" t="s">
        <v>298</v>
      </c>
      <c r="C42" s="103">
        <v>12534.75</v>
      </c>
      <c r="H42" s="88"/>
      <c r="J42" s="88"/>
      <c r="O42" s="89"/>
    </row>
    <row r="43" spans="2:15" s="87" customFormat="1" x14ac:dyDescent="0.3">
      <c r="H43" s="88"/>
      <c r="J43" s="88"/>
      <c r="O43" s="89"/>
    </row>
    <row r="44" spans="2:15" s="87" customFormat="1" x14ac:dyDescent="0.3">
      <c r="B44" s="257" t="s">
        <v>300</v>
      </c>
      <c r="H44" s="88"/>
      <c r="J44" s="88"/>
      <c r="O44" s="89"/>
    </row>
    <row r="45" spans="2:15" s="87" customFormat="1" x14ac:dyDescent="0.3">
      <c r="B45" s="260" t="s">
        <v>305</v>
      </c>
      <c r="C45" s="103">
        <v>6500</v>
      </c>
      <c r="E45" s="87" t="s">
        <v>301</v>
      </c>
      <c r="G45" s="87">
        <v>1663.5</v>
      </c>
      <c r="H45" s="88"/>
      <c r="J45" s="88"/>
      <c r="O45" s="89"/>
    </row>
    <row r="46" spans="2:15" s="87" customFormat="1" x14ac:dyDescent="0.3">
      <c r="B46" s="260" t="s">
        <v>306</v>
      </c>
      <c r="C46" s="103">
        <v>8500</v>
      </c>
      <c r="E46" s="256" t="s">
        <v>302</v>
      </c>
      <c r="G46" s="87">
        <v>163.5</v>
      </c>
      <c r="H46" s="88"/>
      <c r="J46" s="88"/>
      <c r="O46" s="89"/>
    </row>
    <row r="47" spans="2:15" s="87" customFormat="1" x14ac:dyDescent="0.3">
      <c r="B47" s="260" t="s">
        <v>307</v>
      </c>
      <c r="C47" s="103">
        <v>9200</v>
      </c>
      <c r="H47" s="88"/>
      <c r="J47" s="88"/>
      <c r="O47" s="89"/>
    </row>
    <row r="48" spans="2:15" s="87" customFormat="1" x14ac:dyDescent="0.3">
      <c r="B48" s="260" t="s">
        <v>308</v>
      </c>
      <c r="C48" s="103">
        <v>14500</v>
      </c>
      <c r="H48" s="88"/>
      <c r="J48" s="88"/>
      <c r="O48" s="89"/>
    </row>
    <row r="49" spans="8:15" s="87" customFormat="1" x14ac:dyDescent="0.3">
      <c r="H49" s="88"/>
      <c r="J49" s="88"/>
      <c r="O49" s="89"/>
    </row>
    <row r="50" spans="8:15" s="87" customFormat="1" x14ac:dyDescent="0.3">
      <c r="H50" s="88"/>
      <c r="J50" s="88"/>
      <c r="O50" s="89"/>
    </row>
    <row r="51" spans="8:15" s="87" customFormat="1" x14ac:dyDescent="0.3">
      <c r="H51" s="88"/>
      <c r="J51" s="88"/>
      <c r="O51" s="89"/>
    </row>
    <row r="52" spans="8:15" s="87" customFormat="1" x14ac:dyDescent="0.3">
      <c r="H52" s="88"/>
      <c r="J52" s="88"/>
      <c r="O52" s="89"/>
    </row>
    <row r="53" spans="8:15" s="87" customFormat="1" x14ac:dyDescent="0.3">
      <c r="H53" s="88"/>
      <c r="J53" s="88"/>
      <c r="O53" s="89"/>
    </row>
    <row r="54" spans="8:15" s="87" customFormat="1" x14ac:dyDescent="0.3">
      <c r="H54" s="88"/>
      <c r="J54" s="88"/>
      <c r="O54" s="89"/>
    </row>
    <row r="55" spans="8:15" s="87" customFormat="1" x14ac:dyDescent="0.3">
      <c r="H55" s="88"/>
      <c r="J55" s="88"/>
      <c r="O55" s="89"/>
    </row>
    <row r="56" spans="8:15" s="87" customFormat="1" x14ac:dyDescent="0.3">
      <c r="H56" s="88"/>
      <c r="J56" s="88"/>
      <c r="O56" s="89"/>
    </row>
    <row r="57" spans="8:15" s="87" customFormat="1" x14ac:dyDescent="0.3">
      <c r="H57" s="88"/>
      <c r="J57" s="88"/>
      <c r="O57" s="89"/>
    </row>
    <row r="58" spans="8:15" s="87" customFormat="1" x14ac:dyDescent="0.3">
      <c r="H58" s="88"/>
      <c r="J58" s="88"/>
      <c r="O58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Bid Overview</vt:lpstr>
      <vt:lpstr>Base</vt:lpstr>
      <vt:lpstr>ALT #1</vt:lpstr>
      <vt:lpstr>ALT #2</vt:lpstr>
      <vt:lpstr>Std Parts Pricing</vt:lpstr>
      <vt:lpstr>BMS-DDC-Panels</vt:lpstr>
      <vt:lpstr>Control Valves &amp; Meters</vt:lpstr>
      <vt:lpstr>'ALT #1'!_Hlk213152200</vt:lpstr>
      <vt:lpstr>'ALT #2'!_Hlk213152200</vt:lpstr>
      <vt:lpstr>Base!_Hlk213152200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Siddhant Patil</cp:lastModifiedBy>
  <dcterms:created xsi:type="dcterms:W3CDTF">2015-08-21T14:15:56Z</dcterms:created>
  <dcterms:modified xsi:type="dcterms:W3CDTF">2026-10-08T14:08:35Z</dcterms:modified>
</cp:coreProperties>
</file>