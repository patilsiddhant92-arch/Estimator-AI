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.shortcut-targets-by-id\0B_-w4INQeS1BZHJaellhcGl0UUU\AME Project Development\2026 Projects\NEW TEMPLATE\5. Price Workup\1. Base Documents\"/>
    </mc:Choice>
  </mc:AlternateContent>
  <xr:revisionPtr revIDLastSave="0" documentId="8_{3D6E6325-1F52-4920-8FCC-19CE4548F9C1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ummary" sheetId="1" r:id="rId1"/>
    <sheet name="Price Sheet 1" sheetId="3" r:id="rId2"/>
    <sheet name="Price Sheet 2" sheetId="12" r:id="rId3"/>
    <sheet name="Price Sheet 3" sheetId="11" r:id="rId4"/>
    <sheet name="Price Sheet 4" sheetId="10" r:id="rId5"/>
    <sheet name="Price Sheet 5" sheetId="9" r:id="rId6"/>
    <sheet name="Price Sheet 6" sheetId="8" r:id="rId7"/>
    <sheet name="Price Sheet 7" sheetId="7" r:id="rId8"/>
    <sheet name="Price Sheet 8" sheetId="6" r:id="rId9"/>
    <sheet name="Price Sheet 9" sheetId="5" r:id="rId10"/>
    <sheet name="Price Sheet 10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2" roundtripDataSignature="AMtx7mgWHTcDnTh9N/Qb0iAEY09zBp8+/w=="/>
    </ext>
  </extLst>
</workbook>
</file>

<file path=xl/calcChain.xml><?xml version="1.0" encoding="utf-8"?>
<calcChain xmlns="http://schemas.openxmlformats.org/spreadsheetml/2006/main">
  <c r="E437" i="3" l="1"/>
  <c r="E436" i="4"/>
  <c r="E436" i="5"/>
  <c r="E436" i="6"/>
  <c r="E436" i="7"/>
  <c r="E436" i="8"/>
  <c r="E436" i="9"/>
  <c r="E436" i="10"/>
  <c r="E436" i="11"/>
  <c r="E436" i="12"/>
  <c r="E436" i="3"/>
  <c r="E413" i="4"/>
  <c r="E413" i="5"/>
  <c r="E413" i="6"/>
  <c r="E413" i="7"/>
  <c r="E413" i="8"/>
  <c r="E413" i="9"/>
  <c r="E413" i="10"/>
  <c r="E413" i="11"/>
  <c r="E413" i="12"/>
  <c r="E413" i="3"/>
  <c r="E30" i="1"/>
  <c r="D30" i="1"/>
  <c r="C30" i="1"/>
  <c r="J29" i="1"/>
  <c r="E29" i="1"/>
  <c r="D29" i="1"/>
  <c r="J28" i="1"/>
  <c r="E28" i="1"/>
  <c r="D28" i="1"/>
  <c r="E27" i="1"/>
  <c r="D27" i="1"/>
  <c r="J26" i="1"/>
  <c r="E26" i="1"/>
  <c r="D26" i="1"/>
  <c r="E25" i="1"/>
  <c r="D25" i="1"/>
  <c r="C25" i="1"/>
  <c r="E24" i="1"/>
  <c r="D24" i="1"/>
  <c r="J23" i="1"/>
  <c r="E23" i="1"/>
  <c r="D23" i="1"/>
  <c r="E22" i="1"/>
  <c r="D22" i="1"/>
  <c r="D21" i="1"/>
  <c r="D32" i="1" s="1"/>
  <c r="C41" i="1" s="1"/>
  <c r="E21" i="1"/>
  <c r="E32" i="1" s="1"/>
  <c r="C40" i="1" s="1"/>
  <c r="C43" i="1" s="1"/>
  <c r="J22" i="1"/>
  <c r="E427" i="12"/>
  <c r="G401" i="12"/>
  <c r="E431" i="12" s="1"/>
  <c r="E433" i="12" s="1"/>
  <c r="B401" i="12"/>
  <c r="E414" i="12" s="1"/>
  <c r="E416" i="12" s="1"/>
  <c r="I22" i="1" s="1"/>
  <c r="F396" i="12"/>
  <c r="F395" i="12"/>
  <c r="F394" i="12"/>
  <c r="F393" i="12"/>
  <c r="F392" i="12"/>
  <c r="F391" i="12"/>
  <c r="F390" i="12"/>
  <c r="F389" i="12"/>
  <c r="F388" i="12"/>
  <c r="F387" i="12"/>
  <c r="F386" i="12"/>
  <c r="F385" i="12"/>
  <c r="F384" i="12"/>
  <c r="F383" i="12"/>
  <c r="F382" i="12"/>
  <c r="F381" i="12"/>
  <c r="F380" i="12"/>
  <c r="F379" i="12"/>
  <c r="F378" i="12"/>
  <c r="F377" i="12"/>
  <c r="F376" i="12"/>
  <c r="F375" i="12"/>
  <c r="F374" i="12"/>
  <c r="F373" i="12"/>
  <c r="F372" i="12"/>
  <c r="F371" i="12"/>
  <c r="F370" i="12"/>
  <c r="F369" i="12"/>
  <c r="F368" i="12"/>
  <c r="F367" i="12"/>
  <c r="F366" i="12"/>
  <c r="F365" i="12"/>
  <c r="F364" i="12"/>
  <c r="F363" i="12"/>
  <c r="F362" i="12"/>
  <c r="F361" i="12"/>
  <c r="F360" i="12"/>
  <c r="F359" i="12"/>
  <c r="F358" i="12"/>
  <c r="F357" i="12"/>
  <c r="F356" i="12"/>
  <c r="F355" i="12"/>
  <c r="F354" i="12"/>
  <c r="F353" i="12"/>
  <c r="F352" i="12"/>
  <c r="F351" i="12"/>
  <c r="F350" i="12"/>
  <c r="F349" i="12"/>
  <c r="F348" i="12"/>
  <c r="F347" i="12"/>
  <c r="F346" i="12"/>
  <c r="F345" i="12"/>
  <c r="F344" i="12"/>
  <c r="F343" i="12"/>
  <c r="F342" i="12"/>
  <c r="F341" i="12"/>
  <c r="F340" i="12"/>
  <c r="F339" i="12"/>
  <c r="F338" i="12"/>
  <c r="F337" i="12"/>
  <c r="F336" i="12"/>
  <c r="F335" i="12"/>
  <c r="F334" i="12"/>
  <c r="F333" i="12"/>
  <c r="F332" i="12"/>
  <c r="F331" i="12"/>
  <c r="F330" i="12"/>
  <c r="F329" i="12"/>
  <c r="F328" i="12"/>
  <c r="F327" i="12"/>
  <c r="F326" i="12"/>
  <c r="F325" i="12"/>
  <c r="F324" i="12"/>
  <c r="F323" i="12"/>
  <c r="F322" i="12"/>
  <c r="F321" i="12"/>
  <c r="F320" i="12"/>
  <c r="F319" i="12"/>
  <c r="F318" i="12"/>
  <c r="F317" i="12"/>
  <c r="F316" i="12"/>
  <c r="F315" i="12"/>
  <c r="F314" i="12"/>
  <c r="F313" i="12"/>
  <c r="F312" i="12"/>
  <c r="F311" i="12"/>
  <c r="F310" i="12"/>
  <c r="F309" i="12"/>
  <c r="F308" i="12"/>
  <c r="F307" i="12"/>
  <c r="F306" i="12"/>
  <c r="F305" i="12"/>
  <c r="F304" i="12"/>
  <c r="F303" i="12"/>
  <c r="F302" i="12"/>
  <c r="F301" i="12"/>
  <c r="F300" i="12"/>
  <c r="F299" i="12"/>
  <c r="F298" i="12"/>
  <c r="F297" i="12"/>
  <c r="F296" i="12"/>
  <c r="F295" i="12"/>
  <c r="F294" i="12"/>
  <c r="F293" i="12"/>
  <c r="F292" i="12"/>
  <c r="F291" i="12"/>
  <c r="F290" i="12"/>
  <c r="F289" i="12"/>
  <c r="F288" i="12"/>
  <c r="F287" i="12"/>
  <c r="F286" i="12"/>
  <c r="F285" i="12"/>
  <c r="F284" i="12"/>
  <c r="F283" i="12"/>
  <c r="F282" i="12"/>
  <c r="F281" i="12"/>
  <c r="F280" i="12"/>
  <c r="F279" i="12"/>
  <c r="F278" i="12"/>
  <c r="F277" i="12"/>
  <c r="F276" i="12"/>
  <c r="F275" i="12"/>
  <c r="F274" i="12"/>
  <c r="F273" i="12"/>
  <c r="F272" i="12"/>
  <c r="F271" i="12"/>
  <c r="F270" i="12"/>
  <c r="F269" i="12"/>
  <c r="F268" i="12"/>
  <c r="F267" i="12"/>
  <c r="F266" i="12"/>
  <c r="F265" i="12"/>
  <c r="F264" i="12"/>
  <c r="F263" i="12"/>
  <c r="F262" i="12"/>
  <c r="F261" i="12"/>
  <c r="F260" i="12"/>
  <c r="F259" i="12"/>
  <c r="F258" i="12"/>
  <c r="F257" i="12"/>
  <c r="F256" i="12"/>
  <c r="F255" i="12"/>
  <c r="F254" i="12"/>
  <c r="F253" i="12"/>
  <c r="F252" i="12"/>
  <c r="F251" i="12"/>
  <c r="F250" i="12"/>
  <c r="F249" i="12"/>
  <c r="F248" i="12"/>
  <c r="F247" i="12"/>
  <c r="F246" i="12"/>
  <c r="F245" i="12"/>
  <c r="F244" i="12"/>
  <c r="F243" i="12"/>
  <c r="F242" i="12"/>
  <c r="F241" i="12"/>
  <c r="F240" i="12"/>
  <c r="F239" i="12"/>
  <c r="F238" i="12"/>
  <c r="F237" i="12"/>
  <c r="F236" i="12"/>
  <c r="F235" i="12"/>
  <c r="F234" i="12"/>
  <c r="F233" i="12"/>
  <c r="F232" i="12"/>
  <c r="F231" i="12"/>
  <c r="F230" i="12"/>
  <c r="F229" i="12"/>
  <c r="F228" i="12"/>
  <c r="F227" i="12"/>
  <c r="F226" i="12"/>
  <c r="F225" i="12"/>
  <c r="F224" i="12"/>
  <c r="F223" i="12"/>
  <c r="F222" i="12"/>
  <c r="F221" i="12"/>
  <c r="F220" i="12"/>
  <c r="F219" i="12"/>
  <c r="F218" i="12"/>
  <c r="F217" i="12"/>
  <c r="F216" i="12"/>
  <c r="F215" i="12"/>
  <c r="F214" i="12"/>
  <c r="F213" i="12"/>
  <c r="F212" i="12"/>
  <c r="F211" i="12"/>
  <c r="F210" i="12"/>
  <c r="F209" i="12"/>
  <c r="F208" i="12"/>
  <c r="F207" i="12"/>
  <c r="F206" i="12"/>
  <c r="F205" i="12"/>
  <c r="F204" i="12"/>
  <c r="F203" i="12"/>
  <c r="F202" i="12"/>
  <c r="F201" i="12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E427" i="11"/>
  <c r="G401" i="11"/>
  <c r="E431" i="11" s="1"/>
  <c r="E433" i="11" s="1"/>
  <c r="B401" i="11"/>
  <c r="C23" i="1" s="1"/>
  <c r="F396" i="11"/>
  <c r="F395" i="11"/>
  <c r="F394" i="11"/>
  <c r="F393" i="11"/>
  <c r="F392" i="11"/>
  <c r="F391" i="11"/>
  <c r="F390" i="11"/>
  <c r="F389" i="11"/>
  <c r="F388" i="11"/>
  <c r="F387" i="11"/>
  <c r="F386" i="11"/>
  <c r="F385" i="11"/>
  <c r="F384" i="11"/>
  <c r="F383" i="11"/>
  <c r="F382" i="11"/>
  <c r="F381" i="11"/>
  <c r="F380" i="11"/>
  <c r="F379" i="11"/>
  <c r="F378" i="11"/>
  <c r="F377" i="11"/>
  <c r="F376" i="11"/>
  <c r="F375" i="11"/>
  <c r="F374" i="11"/>
  <c r="F373" i="11"/>
  <c r="F372" i="11"/>
  <c r="F371" i="11"/>
  <c r="F370" i="11"/>
  <c r="F369" i="11"/>
  <c r="F368" i="11"/>
  <c r="F367" i="11"/>
  <c r="F366" i="11"/>
  <c r="F365" i="11"/>
  <c r="F364" i="11"/>
  <c r="F363" i="11"/>
  <c r="F362" i="11"/>
  <c r="F361" i="11"/>
  <c r="F360" i="11"/>
  <c r="F359" i="11"/>
  <c r="F358" i="11"/>
  <c r="F357" i="11"/>
  <c r="F356" i="11"/>
  <c r="F355" i="11"/>
  <c r="F354" i="11"/>
  <c r="F353" i="11"/>
  <c r="F352" i="11"/>
  <c r="F351" i="11"/>
  <c r="F350" i="11"/>
  <c r="F349" i="11"/>
  <c r="F348" i="11"/>
  <c r="F347" i="11"/>
  <c r="F346" i="11"/>
  <c r="F345" i="11"/>
  <c r="F344" i="11"/>
  <c r="F343" i="11"/>
  <c r="F342" i="11"/>
  <c r="F341" i="11"/>
  <c r="F340" i="11"/>
  <c r="F339" i="11"/>
  <c r="F338" i="11"/>
  <c r="F337" i="11"/>
  <c r="F336" i="11"/>
  <c r="F335" i="11"/>
  <c r="F334" i="11"/>
  <c r="F333" i="11"/>
  <c r="F332" i="11"/>
  <c r="F331" i="11"/>
  <c r="F330" i="11"/>
  <c r="F329" i="11"/>
  <c r="F328" i="11"/>
  <c r="F327" i="11"/>
  <c r="F326" i="11"/>
  <c r="F325" i="11"/>
  <c r="F324" i="11"/>
  <c r="F323" i="11"/>
  <c r="F322" i="11"/>
  <c r="F321" i="11"/>
  <c r="F320" i="11"/>
  <c r="F319" i="11"/>
  <c r="F318" i="11"/>
  <c r="F317" i="11"/>
  <c r="F316" i="11"/>
  <c r="F315" i="11"/>
  <c r="F314" i="11"/>
  <c r="F313" i="11"/>
  <c r="F312" i="11"/>
  <c r="F311" i="11"/>
  <c r="F310" i="11"/>
  <c r="F309" i="11"/>
  <c r="F308" i="11"/>
  <c r="F307" i="11"/>
  <c r="F306" i="11"/>
  <c r="F305" i="11"/>
  <c r="F304" i="11"/>
  <c r="F303" i="11"/>
  <c r="F302" i="11"/>
  <c r="F301" i="11"/>
  <c r="F300" i="11"/>
  <c r="F299" i="11"/>
  <c r="F298" i="11"/>
  <c r="F297" i="11"/>
  <c r="F296" i="11"/>
  <c r="F295" i="11"/>
  <c r="F294" i="11"/>
  <c r="F293" i="11"/>
  <c r="F292" i="11"/>
  <c r="F291" i="11"/>
  <c r="F290" i="11"/>
  <c r="F289" i="11"/>
  <c r="F288" i="11"/>
  <c r="F287" i="11"/>
  <c r="F286" i="11"/>
  <c r="F285" i="11"/>
  <c r="F284" i="11"/>
  <c r="F283" i="11"/>
  <c r="F282" i="11"/>
  <c r="F281" i="11"/>
  <c r="F280" i="11"/>
  <c r="F279" i="11"/>
  <c r="F278" i="11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F227" i="11"/>
  <c r="F226" i="11"/>
  <c r="F225" i="11"/>
  <c r="F224" i="11"/>
  <c r="F223" i="11"/>
  <c r="F222" i="11"/>
  <c r="F221" i="11"/>
  <c r="F220" i="11"/>
  <c r="F219" i="11"/>
  <c r="F218" i="11"/>
  <c r="F217" i="11"/>
  <c r="F216" i="11"/>
  <c r="F215" i="11"/>
  <c r="F214" i="11"/>
  <c r="F213" i="11"/>
  <c r="F212" i="11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E427" i="10"/>
  <c r="G401" i="10"/>
  <c r="E431" i="10" s="1"/>
  <c r="E433" i="10" s="1"/>
  <c r="B401" i="10"/>
  <c r="C24" i="1" s="1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E427" i="9"/>
  <c r="G401" i="9"/>
  <c r="E431" i="9" s="1"/>
  <c r="E433" i="9" s="1"/>
  <c r="B401" i="9"/>
  <c r="E414" i="9" s="1"/>
  <c r="F396" i="9"/>
  <c r="F395" i="9"/>
  <c r="F394" i="9"/>
  <c r="F393" i="9"/>
  <c r="F392" i="9"/>
  <c r="F391" i="9"/>
  <c r="F390" i="9"/>
  <c r="F389" i="9"/>
  <c r="F388" i="9"/>
  <c r="F387" i="9"/>
  <c r="F386" i="9"/>
  <c r="F385" i="9"/>
  <c r="F384" i="9"/>
  <c r="F383" i="9"/>
  <c r="F382" i="9"/>
  <c r="F381" i="9"/>
  <c r="F380" i="9"/>
  <c r="F379" i="9"/>
  <c r="F378" i="9"/>
  <c r="F377" i="9"/>
  <c r="F376" i="9"/>
  <c r="F375" i="9"/>
  <c r="F374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E427" i="8"/>
  <c r="G401" i="8"/>
  <c r="E431" i="8" s="1"/>
  <c r="E433" i="8" s="1"/>
  <c r="B401" i="8"/>
  <c r="E414" i="8" s="1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E427" i="7"/>
  <c r="G401" i="7"/>
  <c r="E431" i="7" s="1"/>
  <c r="E433" i="7" s="1"/>
  <c r="B401" i="7"/>
  <c r="C27" i="1" s="1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E427" i="6"/>
  <c r="G401" i="6"/>
  <c r="E431" i="6" s="1"/>
  <c r="E433" i="6" s="1"/>
  <c r="B401" i="6"/>
  <c r="E414" i="6" s="1"/>
  <c r="E416" i="6" s="1"/>
  <c r="I28" i="1" s="1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E427" i="5"/>
  <c r="G401" i="5"/>
  <c r="E431" i="5" s="1"/>
  <c r="E433" i="5" s="1"/>
  <c r="B401" i="5"/>
  <c r="E414" i="5" s="1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E427" i="4"/>
  <c r="G401" i="4"/>
  <c r="E431" i="4" s="1"/>
  <c r="E433" i="4" s="1"/>
  <c r="B401" i="4"/>
  <c r="E414" i="4" s="1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E427" i="3"/>
  <c r="F396" i="3"/>
  <c r="E416" i="4" l="1"/>
  <c r="I30" i="1" s="1"/>
  <c r="G30" i="1"/>
  <c r="J30" i="1"/>
  <c r="F401" i="4"/>
  <c r="E410" i="4" s="1"/>
  <c r="E416" i="5"/>
  <c r="I29" i="1" s="1"/>
  <c r="G29" i="1"/>
  <c r="C29" i="1"/>
  <c r="F401" i="5"/>
  <c r="E410" i="5" s="1"/>
  <c r="C28" i="1"/>
  <c r="G28" i="1"/>
  <c r="F401" i="6"/>
  <c r="E414" i="7"/>
  <c r="J27" i="1"/>
  <c r="F401" i="7"/>
  <c r="E410" i="7" s="1"/>
  <c r="E416" i="8"/>
  <c r="I26" i="1" s="1"/>
  <c r="G26" i="1"/>
  <c r="C26" i="1"/>
  <c r="F401" i="8"/>
  <c r="E410" i="8" s="1"/>
  <c r="E416" i="9"/>
  <c r="I25" i="1" s="1"/>
  <c r="G25" i="1"/>
  <c r="J25" i="1"/>
  <c r="F401" i="9"/>
  <c r="E414" i="10"/>
  <c r="J24" i="1"/>
  <c r="F401" i="10"/>
  <c r="E410" i="10" s="1"/>
  <c r="E414" i="11"/>
  <c r="F401" i="11"/>
  <c r="E410" i="11" s="1"/>
  <c r="C22" i="1"/>
  <c r="G22" i="1"/>
  <c r="F401" i="12"/>
  <c r="E415" i="12"/>
  <c r="H22" i="1" s="1"/>
  <c r="E415" i="11"/>
  <c r="H23" i="1" s="1"/>
  <c r="E416" i="10"/>
  <c r="I24" i="1" s="1"/>
  <c r="E410" i="9"/>
  <c r="E415" i="9"/>
  <c r="H25" i="1" s="1"/>
  <c r="E415" i="8"/>
  <c r="H26" i="1" s="1"/>
  <c r="E415" i="7"/>
  <c r="H27" i="1" s="1"/>
  <c r="E410" i="6"/>
  <c r="E415" i="6"/>
  <c r="H28" i="1" s="1"/>
  <c r="E415" i="5"/>
  <c r="H29" i="1" s="1"/>
  <c r="E415" i="4"/>
  <c r="H30" i="1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E417" i="4" l="1"/>
  <c r="E421" i="4" s="1"/>
  <c r="F30" i="1"/>
  <c r="E417" i="5"/>
  <c r="E421" i="5" s="1"/>
  <c r="M29" i="1" s="1"/>
  <c r="F29" i="1"/>
  <c r="E417" i="6"/>
  <c r="E421" i="6" s="1"/>
  <c r="M28" i="1" s="1"/>
  <c r="F28" i="1"/>
  <c r="E416" i="7"/>
  <c r="I27" i="1" s="1"/>
  <c r="G27" i="1"/>
  <c r="E417" i="7"/>
  <c r="E421" i="7" s="1"/>
  <c r="M27" i="1" s="1"/>
  <c r="F27" i="1"/>
  <c r="E417" i="8"/>
  <c r="E421" i="8" s="1"/>
  <c r="M26" i="1" s="1"/>
  <c r="F26" i="1"/>
  <c r="E417" i="9"/>
  <c r="E421" i="9" s="1"/>
  <c r="M25" i="1" s="1"/>
  <c r="F25" i="1"/>
  <c r="E415" i="10"/>
  <c r="H24" i="1" s="1"/>
  <c r="G24" i="1"/>
  <c r="E417" i="10"/>
  <c r="E421" i="10" s="1"/>
  <c r="M24" i="1" s="1"/>
  <c r="F24" i="1"/>
  <c r="E416" i="11"/>
  <c r="I23" i="1" s="1"/>
  <c r="G23" i="1"/>
  <c r="F23" i="1"/>
  <c r="E410" i="12"/>
  <c r="G401" i="3"/>
  <c r="E431" i="3" s="1"/>
  <c r="J21" i="1" s="1"/>
  <c r="J32" i="1" s="1"/>
  <c r="C46" i="1" s="1"/>
  <c r="C48" i="1" s="1"/>
  <c r="B401" i="3"/>
  <c r="F6" i="3"/>
  <c r="M30" i="1" l="1"/>
  <c r="E437" i="4"/>
  <c r="L30" i="1" s="1"/>
  <c r="E441" i="4"/>
  <c r="E442" i="4" s="1"/>
  <c r="E441" i="5"/>
  <c r="E442" i="5" s="1"/>
  <c r="E437" i="5"/>
  <c r="L29" i="1" s="1"/>
  <c r="E437" i="6"/>
  <c r="L28" i="1" s="1"/>
  <c r="E441" i="6"/>
  <c r="E442" i="6" s="1"/>
  <c r="E437" i="7"/>
  <c r="L27" i="1" s="1"/>
  <c r="E441" i="7"/>
  <c r="E442" i="7" s="1"/>
  <c r="E441" i="8"/>
  <c r="E442" i="8" s="1"/>
  <c r="E437" i="8"/>
  <c r="L26" i="1" s="1"/>
  <c r="E437" i="9"/>
  <c r="L25" i="1" s="1"/>
  <c r="E441" i="9"/>
  <c r="E442" i="9" s="1"/>
  <c r="E441" i="10"/>
  <c r="E442" i="10" s="1"/>
  <c r="E437" i="10"/>
  <c r="L24" i="1" s="1"/>
  <c r="E417" i="11"/>
  <c r="E421" i="11" s="1"/>
  <c r="M23" i="1" s="1"/>
  <c r="E417" i="12"/>
  <c r="E421" i="12" s="1"/>
  <c r="F22" i="1"/>
  <c r="E414" i="3"/>
  <c r="G21" i="1" s="1"/>
  <c r="G32" i="1" s="1"/>
  <c r="C21" i="1"/>
  <c r="C32" i="1" s="1"/>
  <c r="E433" i="3"/>
  <c r="F401" i="3"/>
  <c r="E437" i="11" l="1"/>
  <c r="L23" i="1" s="1"/>
  <c r="E441" i="11"/>
  <c r="E442" i="11" s="1"/>
  <c r="M22" i="1"/>
  <c r="E437" i="12"/>
  <c r="L22" i="1" s="1"/>
  <c r="E441" i="12"/>
  <c r="E442" i="12" s="1"/>
  <c r="E410" i="3"/>
  <c r="F21" i="1" s="1"/>
  <c r="F32" i="1" s="1"/>
  <c r="E416" i="3"/>
  <c r="I21" i="1" s="1"/>
  <c r="I32" i="1" s="1"/>
  <c r="E415" i="3"/>
  <c r="H21" i="1" s="1"/>
  <c r="H32" i="1" s="1"/>
  <c r="C35" i="1" l="1"/>
  <c r="C37" i="1" s="1"/>
  <c r="E417" i="3"/>
  <c r="E421" i="3" s="1"/>
  <c r="L21" i="1" s="1"/>
  <c r="L32" i="1" s="1"/>
  <c r="C51" i="1" l="1"/>
  <c r="C52" i="1" s="1"/>
  <c r="E441" i="3"/>
  <c r="E442" i="3" s="1"/>
  <c r="M21" i="1"/>
  <c r="M32" i="1" s="1"/>
</calcChain>
</file>

<file path=xl/sharedStrings.xml><?xml version="1.0" encoding="utf-8"?>
<sst xmlns="http://schemas.openxmlformats.org/spreadsheetml/2006/main" count="413" uniqueCount="61">
  <si>
    <t>Job Name:</t>
  </si>
  <si>
    <t>Job Description:</t>
  </si>
  <si>
    <t xml:space="preserve">Location: </t>
  </si>
  <si>
    <t>Date:</t>
  </si>
  <si>
    <t xml:space="preserve">Quote Breakdown </t>
  </si>
  <si>
    <t>QTY</t>
  </si>
  <si>
    <t>Location</t>
  </si>
  <si>
    <t>Total</t>
  </si>
  <si>
    <t xml:space="preserve">MCCC LA </t>
  </si>
  <si>
    <t>Markup</t>
  </si>
  <si>
    <t>TOTAL SELL PRICE</t>
  </si>
  <si>
    <t>Tech Hours</t>
  </si>
  <si>
    <t>Quantities</t>
  </si>
  <si>
    <t>Scope of Work</t>
  </si>
  <si>
    <t>Unit Price</t>
  </si>
  <si>
    <t>Material Totals</t>
  </si>
  <si>
    <t>Electric Costs</t>
  </si>
  <si>
    <t>Total Material Costs</t>
  </si>
  <si>
    <t>Tech Cost Per Hour</t>
  </si>
  <si>
    <t>AME Project Management Costs in Comparison to Technician Costs</t>
  </si>
  <si>
    <t>AME Technician Costs</t>
  </si>
  <si>
    <t>AME Project Management Costs</t>
  </si>
  <si>
    <t>Engineering Costs</t>
  </si>
  <si>
    <t>AME Engineering Costs in Comparison to Technician Costs</t>
  </si>
  <si>
    <t>Markup on Total Costs</t>
  </si>
  <si>
    <t>AME Material / Technician / PM / Engineering Sell Price</t>
  </si>
  <si>
    <t>Electrical Costs</t>
  </si>
  <si>
    <t>Markup on Electrical Costs</t>
  </si>
  <si>
    <t>Total AME Costs</t>
  </si>
  <si>
    <t>Electrical Sell Price</t>
  </si>
  <si>
    <t>Markup on Total Sell Price</t>
  </si>
  <si>
    <t>Electrician</t>
  </si>
  <si>
    <t>Material Cost</t>
  </si>
  <si>
    <t>AME Tech Cost</t>
  </si>
  <si>
    <t>AME PM Cost</t>
  </si>
  <si>
    <t>Engineering Cost</t>
  </si>
  <si>
    <t>Margin</t>
  </si>
  <si>
    <t>Sell Price</t>
  </si>
  <si>
    <t>Total Sell Price</t>
  </si>
  <si>
    <t>Electrical Cost</t>
  </si>
  <si>
    <t>Electrical Total Costs</t>
  </si>
  <si>
    <t>Gross Margin</t>
  </si>
  <si>
    <t>Total Sell After Markup</t>
  </si>
  <si>
    <t>GROSS MARGIN</t>
  </si>
  <si>
    <t>MARKUP GROSS MARGIN</t>
  </si>
  <si>
    <t>Cost</t>
  </si>
  <si>
    <t>Markup on Internal Electrical Budget</t>
  </si>
  <si>
    <t>Mechanical Contractor Costs</t>
  </si>
  <si>
    <t>Other 3rd Party Cost</t>
  </si>
  <si>
    <t>Markup on Contractor Costs</t>
  </si>
  <si>
    <t>Other 3rd Party Costs</t>
  </si>
  <si>
    <t>Third Party Contractors Sell Price</t>
  </si>
  <si>
    <t>Material Sales Tax</t>
  </si>
  <si>
    <t>Additional Material Contingency</t>
  </si>
  <si>
    <t>Material Sales Tax Total</t>
  </si>
  <si>
    <t>Sales Tax</t>
  </si>
  <si>
    <t>New Jersey</t>
  </si>
  <si>
    <t>New York</t>
  </si>
  <si>
    <t>AME Material / Tech / PM / Engineering Total Costs</t>
  </si>
  <si>
    <t>Mech Cont Cost</t>
  </si>
  <si>
    <t>Job Number: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</si>
</sst>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0.000%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Verdana"/>
      <family val="2"/>
    </font>
    <font>
      <sz val="11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15">
    <xf numFmtId="0" fontId="0" fillId="0" borderId="0" xfId="0"/>
    <xf numFmtId="44" fontId="4" fillId="0" borderId="0" xfId="0" applyNumberFormat="1" applyFont="1"/>
    <xf numFmtId="0" fontId="4" fillId="2" borderId="1" xfId="0" applyFont="1" applyFill="1" applyBorder="1"/>
    <xf numFmtId="44" fontId="4" fillId="2" borderId="1" xfId="0" applyNumberFormat="1" applyFont="1" applyFill="1" applyBorder="1"/>
    <xf numFmtId="0" fontId="5" fillId="2" borderId="1" xfId="0" applyFont="1" applyFill="1" applyBorder="1"/>
    <xf numFmtId="0" fontId="6" fillId="0" borderId="2" xfId="0" applyFont="1" applyBorder="1"/>
    <xf numFmtId="44" fontId="4" fillId="2" borderId="3" xfId="0" applyNumberFormat="1" applyFont="1" applyFill="1" applyBorder="1"/>
    <xf numFmtId="0" fontId="5" fillId="2" borderId="3" xfId="0" applyFont="1" applyFill="1" applyBorder="1"/>
    <xf numFmtId="14" fontId="5" fillId="2" borderId="3" xfId="0" applyNumberFormat="1" applyFont="1" applyFill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4" fillId="0" borderId="0" xfId="0" applyFont="1"/>
    <xf numFmtId="44" fontId="0" fillId="0" borderId="8" xfId="1" applyFont="1" applyBorder="1"/>
    <xf numFmtId="44" fontId="0" fillId="0" borderId="0" xfId="1" applyFont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wrapText="1"/>
    </xf>
    <xf numFmtId="44" fontId="11" fillId="0" borderId="0" xfId="1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wrapText="1"/>
    </xf>
    <xf numFmtId="44" fontId="0" fillId="0" borderId="9" xfId="1" applyFont="1" applyBorder="1"/>
    <xf numFmtId="0" fontId="2" fillId="0" borderId="8" xfId="0" applyFont="1" applyBorder="1" applyAlignment="1">
      <alignment horizontal="right"/>
    </xf>
    <xf numFmtId="0" fontId="11" fillId="0" borderId="8" xfId="0" applyFont="1" applyBorder="1" applyAlignment="1">
      <alignment horizontal="right"/>
    </xf>
    <xf numFmtId="0" fontId="11" fillId="0" borderId="0" xfId="0" applyFont="1" applyAlignment="1">
      <alignment horizontal="right"/>
    </xf>
    <xf numFmtId="44" fontId="0" fillId="0" borderId="1" xfId="1" applyFont="1" applyBorder="1"/>
    <xf numFmtId="44" fontId="0" fillId="0" borderId="11" xfId="1" applyFont="1" applyBorder="1"/>
    <xf numFmtId="9" fontId="2" fillId="0" borderId="8" xfId="2" applyFont="1" applyBorder="1"/>
    <xf numFmtId="9" fontId="0" fillId="0" borderId="8" xfId="2" applyFont="1" applyBorder="1"/>
    <xf numFmtId="0" fontId="0" fillId="4" borderId="8" xfId="0" applyFill="1" applyBorder="1" applyAlignment="1">
      <alignment horizontal="center"/>
    </xf>
    <xf numFmtId="0" fontId="0" fillId="4" borderId="8" xfId="0" applyFill="1" applyBorder="1" applyAlignment="1">
      <alignment wrapText="1"/>
    </xf>
    <xf numFmtId="44" fontId="0" fillId="4" borderId="8" xfId="1" applyFont="1" applyFill="1" applyBorder="1"/>
    <xf numFmtId="9" fontId="0" fillId="4" borderId="8" xfId="2" applyFont="1" applyFill="1" applyBorder="1"/>
    <xf numFmtId="44" fontId="0" fillId="4" borderId="11" xfId="1" applyFont="1" applyFill="1" applyBorder="1"/>
    <xf numFmtId="0" fontId="2" fillId="4" borderId="8" xfId="0" applyFont="1" applyFill="1" applyBorder="1" applyAlignment="1">
      <alignment horizontal="right"/>
    </xf>
    <xf numFmtId="0" fontId="2" fillId="5" borderId="8" xfId="0" applyFont="1" applyFill="1" applyBorder="1" applyAlignment="1">
      <alignment horizontal="right"/>
    </xf>
    <xf numFmtId="0" fontId="2" fillId="4" borderId="12" xfId="0" applyFont="1" applyFill="1" applyBorder="1" applyAlignment="1">
      <alignment horizontal="right"/>
    </xf>
    <xf numFmtId="0" fontId="11" fillId="6" borderId="8" xfId="0" applyFont="1" applyFill="1" applyBorder="1" applyAlignment="1">
      <alignment horizontal="right"/>
    </xf>
    <xf numFmtId="44" fontId="11" fillId="6" borderId="11" xfId="1" applyFont="1" applyFill="1" applyBorder="1"/>
    <xf numFmtId="44" fontId="11" fillId="6" borderId="8" xfId="1" applyFont="1" applyFill="1" applyBorder="1"/>
    <xf numFmtId="0" fontId="11" fillId="3" borderId="8" xfId="0" applyFont="1" applyFill="1" applyBorder="1" applyAlignment="1">
      <alignment horizontal="right" indent="1"/>
    </xf>
    <xf numFmtId="44" fontId="11" fillId="3" borderId="8" xfId="1" applyFont="1" applyFill="1" applyBorder="1"/>
    <xf numFmtId="9" fontId="0" fillId="0" borderId="8" xfId="2" applyFont="1" applyFill="1" applyBorder="1"/>
    <xf numFmtId="9" fontId="0" fillId="3" borderId="8" xfId="2" applyFont="1" applyFill="1" applyBorder="1"/>
    <xf numFmtId="9" fontId="11" fillId="3" borderId="8" xfId="2" applyFont="1" applyFill="1" applyBorder="1"/>
    <xf numFmtId="0" fontId="11" fillId="3" borderId="8" xfId="0" applyFont="1" applyFill="1" applyBorder="1" applyAlignment="1">
      <alignment horizontal="center"/>
    </xf>
    <xf numFmtId="44" fontId="11" fillId="3" borderId="8" xfId="1" applyFont="1" applyFill="1" applyBorder="1" applyAlignment="1">
      <alignment horizontal="center"/>
    </xf>
    <xf numFmtId="0" fontId="6" fillId="0" borderId="6" xfId="0" applyFont="1" applyBorder="1"/>
    <xf numFmtId="0" fontId="5" fillId="2" borderId="6" xfId="0" applyFont="1" applyFill="1" applyBorder="1"/>
    <xf numFmtId="14" fontId="5" fillId="2" borderId="6" xfId="0" applyNumberFormat="1" applyFont="1" applyFill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44" fontId="4" fillId="0" borderId="8" xfId="0" applyNumberFormat="1" applyFont="1" applyBorder="1"/>
    <xf numFmtId="0" fontId="5" fillId="2" borderId="4" xfId="0" applyFont="1" applyFill="1" applyBorder="1"/>
    <xf numFmtId="0" fontId="7" fillId="0" borderId="5" xfId="0" applyFont="1" applyBorder="1"/>
    <xf numFmtId="0" fontId="7" fillId="0" borderId="6" xfId="0" applyFont="1" applyBorder="1"/>
    <xf numFmtId="44" fontId="9" fillId="0" borderId="8" xfId="0" applyNumberFormat="1" applyFont="1" applyBorder="1" applyAlignment="1">
      <alignment horizontal="center"/>
    </xf>
    <xf numFmtId="44" fontId="9" fillId="0" borderId="14" xfId="0" applyNumberFormat="1" applyFont="1" applyBorder="1" applyAlignment="1">
      <alignment horizontal="center"/>
    </xf>
    <xf numFmtId="0" fontId="8" fillId="0" borderId="8" xfId="0" applyFont="1" applyBorder="1" applyAlignment="1">
      <alignment horizontal="right"/>
    </xf>
    <xf numFmtId="44" fontId="9" fillId="0" borderId="15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4" fillId="0" borderId="8" xfId="0" applyFont="1" applyBorder="1"/>
    <xf numFmtId="0" fontId="8" fillId="3" borderId="7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44" fontId="8" fillId="3" borderId="8" xfId="0" applyNumberFormat="1" applyFont="1" applyFill="1" applyBorder="1" applyAlignment="1">
      <alignment horizontal="center"/>
    </xf>
    <xf numFmtId="0" fontId="11" fillId="3" borderId="8" xfId="0" applyFont="1" applyFill="1" applyBorder="1"/>
    <xf numFmtId="44" fontId="0" fillId="3" borderId="8" xfId="0" applyNumberFormat="1" applyFill="1" applyBorder="1"/>
    <xf numFmtId="0" fontId="5" fillId="6" borderId="8" xfId="0" applyFont="1" applyFill="1" applyBorder="1"/>
    <xf numFmtId="44" fontId="4" fillId="6" borderId="8" xfId="0" applyNumberFormat="1" applyFont="1" applyFill="1" applyBorder="1"/>
    <xf numFmtId="9" fontId="4" fillId="0" borderId="8" xfId="0" applyNumberFormat="1" applyFont="1" applyBorder="1"/>
    <xf numFmtId="44" fontId="0" fillId="6" borderId="8" xfId="0" applyNumberFormat="1" applyFill="1" applyBorder="1"/>
    <xf numFmtId="0" fontId="4" fillId="4" borderId="8" xfId="0" applyFont="1" applyFill="1" applyBorder="1"/>
    <xf numFmtId="44" fontId="4" fillId="4" borderId="8" xfId="0" applyNumberFormat="1" applyFont="1" applyFill="1" applyBorder="1"/>
    <xf numFmtId="0" fontId="4" fillId="4" borderId="15" xfId="0" applyFont="1" applyFill="1" applyBorder="1" applyAlignment="1">
      <alignment horizontal="center"/>
    </xf>
    <xf numFmtId="0" fontId="4" fillId="4" borderId="12" xfId="0" applyFont="1" applyFill="1" applyBorder="1"/>
    <xf numFmtId="44" fontId="4" fillId="4" borderId="12" xfId="1" applyFont="1" applyFill="1" applyBorder="1"/>
    <xf numFmtId="44" fontId="4" fillId="4" borderId="16" xfId="1" applyFont="1" applyFill="1" applyBorder="1"/>
    <xf numFmtId="0" fontId="11" fillId="3" borderId="8" xfId="0" applyFont="1" applyFill="1" applyBorder="1" applyAlignment="1">
      <alignment horizontal="right"/>
    </xf>
    <xf numFmtId="44" fontId="11" fillId="3" borderId="8" xfId="1" applyFont="1" applyFill="1" applyBorder="1" applyAlignment="1">
      <alignment horizontal="right"/>
    </xf>
    <xf numFmtId="0" fontId="1" fillId="4" borderId="8" xfId="0" applyFont="1" applyFill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5" borderId="8" xfId="0" applyFont="1" applyFill="1" applyBorder="1" applyAlignment="1">
      <alignment horizontal="right"/>
    </xf>
    <xf numFmtId="164" fontId="0" fillId="0" borderId="0" xfId="1" applyNumberFormat="1" applyFont="1"/>
    <xf numFmtId="44" fontId="1" fillId="0" borderId="8" xfId="1" applyFont="1" applyBorder="1"/>
    <xf numFmtId="44" fontId="1" fillId="4" borderId="8" xfId="1" applyFont="1" applyFill="1" applyBorder="1"/>
    <xf numFmtId="165" fontId="0" fillId="0" borderId="8" xfId="2" applyNumberFormat="1" applyFont="1" applyBorder="1"/>
    <xf numFmtId="165" fontId="0" fillId="4" borderId="8" xfId="2" applyNumberFormat="1" applyFont="1" applyFill="1" applyBorder="1"/>
    <xf numFmtId="165" fontId="0" fillId="0" borderId="11" xfId="2" applyNumberFormat="1" applyFont="1" applyBorder="1"/>
    <xf numFmtId="44" fontId="4" fillId="0" borderId="1" xfId="0" applyNumberFormat="1" applyFont="1" applyBorder="1"/>
    <xf numFmtId="9" fontId="4" fillId="0" borderId="1" xfId="2" applyFont="1" applyFill="1" applyBorder="1"/>
    <xf numFmtId="9" fontId="0" fillId="0" borderId="1" xfId="2" applyFont="1" applyFill="1" applyBorder="1"/>
    <xf numFmtId="44" fontId="0" fillId="0" borderId="1" xfId="0" applyNumberFormat="1" applyBorder="1"/>
    <xf numFmtId="9" fontId="4" fillId="4" borderId="8" xfId="2" applyFont="1" applyFill="1" applyBorder="1"/>
    <xf numFmtId="0" fontId="13" fillId="4" borderId="8" xfId="0" applyFont="1" applyFill="1" applyBorder="1"/>
    <xf numFmtId="0" fontId="13" fillId="4" borderId="8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8" xfId="0" applyFont="1" applyBorder="1"/>
    <xf numFmtId="0" fontId="13" fillId="0" borderId="8" xfId="0" applyFont="1" applyBorder="1" applyAlignment="1">
      <alignment horizontal="center"/>
    </xf>
    <xf numFmtId="44" fontId="13" fillId="4" borderId="8" xfId="0" applyNumberFormat="1" applyFont="1" applyFill="1" applyBorder="1" applyAlignment="1">
      <alignment horizontal="left"/>
    </xf>
    <xf numFmtId="44" fontId="13" fillId="0" borderId="8" xfId="0" applyNumberFormat="1" applyFont="1" applyBorder="1" applyAlignment="1">
      <alignment horizontal="left"/>
    </xf>
    <xf numFmtId="44" fontId="13" fillId="4" borderId="8" xfId="1" applyFont="1" applyFill="1" applyBorder="1" applyAlignment="1">
      <alignment horizontal="left"/>
    </xf>
    <xf numFmtId="44" fontId="13" fillId="4" borderId="10" xfId="1" applyFont="1" applyFill="1" applyBorder="1" applyAlignment="1">
      <alignment horizontal="left"/>
    </xf>
    <xf numFmtId="44" fontId="13" fillId="0" borderId="8" xfId="1" applyFont="1" applyBorder="1" applyAlignment="1">
      <alignment horizontal="left"/>
    </xf>
    <xf numFmtId="44" fontId="13" fillId="0" borderId="10" xfId="1" applyFont="1" applyBorder="1" applyAlignment="1">
      <alignment horizontal="left"/>
    </xf>
    <xf numFmtId="44" fontId="5" fillId="0" borderId="8" xfId="1" applyFont="1" applyBorder="1" applyAlignment="1">
      <alignment horizontal="left"/>
    </xf>
    <xf numFmtId="44" fontId="5" fillId="0" borderId="10" xfId="1" applyFont="1" applyBorder="1" applyAlignment="1">
      <alignment horizontal="left"/>
    </xf>
    <xf numFmtId="0" fontId="11" fillId="0" borderId="0" xfId="0" applyFont="1"/>
    <xf numFmtId="44" fontId="8" fillId="0" borderId="8" xfId="0" applyNumberFormat="1" applyFont="1" applyBorder="1" applyAlignment="1">
      <alignment horizontal="right"/>
    </xf>
    <xf numFmtId="9" fontId="13" fillId="4" borderId="8" xfId="0" applyNumberFormat="1" applyFont="1" applyFill="1" applyBorder="1" applyAlignment="1">
      <alignment horizontal="center"/>
    </xf>
    <xf numFmtId="9" fontId="13" fillId="0" borderId="8" xfId="0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298524</xdr:colOff>
      <xdr:row>0</xdr:row>
      <xdr:rowOff>126402</xdr:rowOff>
    </xdr:from>
    <xdr:to>
      <xdr:col>6</xdr:col>
      <xdr:colOff>473597</xdr:colOff>
      <xdr:row>6</xdr:row>
      <xdr:rowOff>15128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EC949B-72B3-93F0-3B02-A6818FCC4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8924" y="126402"/>
          <a:ext cx="2443144" cy="1869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4"/>
  <sheetViews>
    <sheetView showGridLines="0" zoomScale="85" zoomScaleNormal="85" workbookViewId="0">
      <selection activeCell="F21" sqref="F21"/>
    </sheetView>
  </sheetViews>
  <sheetFormatPr defaultColWidth="14.44140625" defaultRowHeight="15" customHeight="1" x14ac:dyDescent="0.3"/>
  <cols>
    <col min="1" max="1" width="15.5546875" customWidth="1"/>
    <col min="2" max="2" width="50.6640625" customWidth="1"/>
    <col min="3" max="3" width="16.21875" customWidth="1"/>
    <col min="4" max="4" width="19.77734375" customWidth="1"/>
    <col min="5" max="5" width="16.33203125" customWidth="1"/>
    <col min="6" max="6" width="16.6640625" customWidth="1"/>
    <col min="7" max="7" width="16.109375" customWidth="1"/>
    <col min="8" max="8" width="15.5546875" customWidth="1"/>
    <col min="9" max="9" width="15.44140625" customWidth="1"/>
    <col min="10" max="10" width="15.77734375" customWidth="1"/>
    <col min="11" max="11" width="15.21875" customWidth="1"/>
    <col min="12" max="12" width="13.77734375" customWidth="1"/>
    <col min="13" max="13" width="14.109375" customWidth="1"/>
    <col min="14" max="33" width="8.6640625" customWidth="1"/>
  </cols>
  <sheetData>
    <row r="1" spans="1:13" ht="14.25" customHeight="1" x14ac:dyDescent="0.3">
      <c r="K1" s="1"/>
    </row>
    <row r="2" spans="1:13" ht="14.25" customHeight="1" x14ac:dyDescent="0.3">
      <c r="K2" s="1"/>
    </row>
    <row r="3" spans="1:13" ht="14.25" customHeight="1" x14ac:dyDescent="0.3">
      <c r="K3" s="1"/>
    </row>
    <row r="4" spans="1:13" ht="14.2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3"/>
    </row>
    <row r="5" spans="1:13" ht="14.2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/>
    </row>
    <row r="6" spans="1:13" ht="85.2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3"/>
    </row>
    <row r="7" spans="1:13" ht="14.25" customHeight="1" x14ac:dyDescent="0.3">
      <c r="A7" s="4" t="s">
        <v>0</v>
      </c>
      <c r="B7" s="5" t="s">
        <v>8</v>
      </c>
      <c r="C7" s="49"/>
      <c r="D7" s="49"/>
      <c r="E7" s="49"/>
      <c r="F7" s="49"/>
      <c r="G7" s="49"/>
      <c r="H7" s="49"/>
      <c r="I7" s="49"/>
      <c r="J7" s="49"/>
      <c r="K7" s="6"/>
      <c r="L7" s="6"/>
      <c r="M7" s="6"/>
    </row>
    <row r="8" spans="1:13" ht="14.25" customHeight="1" x14ac:dyDescent="0.3">
      <c r="A8" s="4"/>
      <c r="B8" s="2"/>
      <c r="C8" s="2"/>
      <c r="D8" s="2"/>
      <c r="E8" s="2"/>
      <c r="F8" s="2"/>
      <c r="G8" s="2"/>
      <c r="H8" s="2"/>
      <c r="I8" s="2"/>
      <c r="J8" s="2"/>
      <c r="K8" s="3"/>
    </row>
    <row r="9" spans="1:13" ht="14.25" customHeight="1" x14ac:dyDescent="0.3">
      <c r="A9" s="4" t="s">
        <v>60</v>
      </c>
      <c r="B9" s="7"/>
      <c r="C9" s="50"/>
      <c r="D9" s="50"/>
      <c r="E9" s="50"/>
      <c r="F9" s="50"/>
      <c r="G9" s="50"/>
      <c r="H9" s="50"/>
      <c r="I9" s="50"/>
      <c r="J9" s="50"/>
      <c r="K9" s="6"/>
      <c r="L9" s="6"/>
      <c r="M9" s="6"/>
    </row>
    <row r="10" spans="1:13" ht="14.25" customHeight="1" x14ac:dyDescent="0.3">
      <c r="A10" s="4"/>
      <c r="B10" s="2"/>
      <c r="C10" s="2"/>
      <c r="D10" s="2"/>
      <c r="E10" s="2"/>
      <c r="F10" s="2"/>
      <c r="G10" s="2"/>
      <c r="H10" s="2"/>
      <c r="I10" s="2"/>
      <c r="J10" s="2"/>
      <c r="K10" s="3"/>
    </row>
    <row r="11" spans="1:13" ht="14.25" customHeight="1" x14ac:dyDescent="0.3">
      <c r="A11" s="4" t="s">
        <v>1</v>
      </c>
      <c r="B11" s="7"/>
      <c r="C11" s="50"/>
      <c r="D11" s="50"/>
      <c r="E11" s="50"/>
      <c r="F11" s="50"/>
      <c r="G11" s="50"/>
      <c r="H11" s="50"/>
      <c r="I11" s="50"/>
      <c r="J11" s="50"/>
      <c r="K11" s="6"/>
      <c r="L11" s="6"/>
      <c r="M11" s="6"/>
    </row>
    <row r="12" spans="1:13" ht="14.25" customHeight="1" x14ac:dyDescent="0.3">
      <c r="A12" s="4"/>
      <c r="B12" s="2"/>
      <c r="C12" s="2"/>
      <c r="D12" s="2"/>
      <c r="E12" s="2"/>
      <c r="F12" s="2"/>
      <c r="G12" s="2"/>
      <c r="H12" s="2"/>
      <c r="I12" s="2"/>
      <c r="J12" s="2"/>
      <c r="K12" s="3"/>
    </row>
    <row r="13" spans="1:13" ht="14.25" customHeight="1" x14ac:dyDescent="0.3">
      <c r="A13" s="4" t="s">
        <v>2</v>
      </c>
      <c r="B13" s="7"/>
      <c r="C13" s="50"/>
      <c r="D13" s="50"/>
      <c r="E13" s="50"/>
      <c r="F13" s="50"/>
      <c r="G13" s="50"/>
      <c r="H13" s="50"/>
      <c r="I13" s="50"/>
      <c r="J13" s="50"/>
      <c r="K13" s="6"/>
      <c r="L13" s="6"/>
      <c r="M13" s="6"/>
    </row>
    <row r="14" spans="1:13" ht="14.25" customHeight="1" x14ac:dyDescent="0.3">
      <c r="A14" s="4"/>
      <c r="B14" s="2"/>
      <c r="C14" s="2"/>
      <c r="D14" s="2"/>
      <c r="E14" s="2"/>
      <c r="F14" s="2"/>
      <c r="G14" s="2"/>
      <c r="H14" s="2"/>
      <c r="I14" s="2"/>
      <c r="J14" s="2"/>
      <c r="K14" s="3"/>
    </row>
    <row r="15" spans="1:13" ht="14.25" customHeight="1" x14ac:dyDescent="0.3">
      <c r="A15" s="4" t="s">
        <v>3</v>
      </c>
      <c r="B15" s="8">
        <v>46012</v>
      </c>
      <c r="C15" s="51"/>
      <c r="D15" s="51"/>
      <c r="E15" s="51"/>
      <c r="F15" s="51"/>
      <c r="G15" s="51"/>
      <c r="H15" s="51"/>
      <c r="I15" s="51"/>
      <c r="J15" s="51"/>
      <c r="K15" s="6"/>
      <c r="L15" s="6"/>
      <c r="M15" s="6"/>
    </row>
    <row r="16" spans="1:13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</row>
    <row r="17" spans="1:13" ht="14.25" customHeight="1" x14ac:dyDescent="0.3">
      <c r="A17" s="56" t="s">
        <v>4</v>
      </c>
      <c r="B17" s="57"/>
      <c r="C17" s="58"/>
      <c r="D17" s="58"/>
      <c r="E17" s="58"/>
      <c r="F17" s="58"/>
      <c r="G17" s="58"/>
      <c r="H17" s="58"/>
      <c r="I17" s="58"/>
      <c r="J17" s="58"/>
      <c r="K17" s="57"/>
      <c r="L17" s="57"/>
      <c r="M17" s="57"/>
    </row>
    <row r="18" spans="1:13" ht="14.25" customHeight="1" x14ac:dyDescent="0.3">
      <c r="K18" s="1"/>
    </row>
    <row r="19" spans="1:13" ht="14.25" customHeight="1" x14ac:dyDescent="0.3">
      <c r="A19" s="65" t="s">
        <v>5</v>
      </c>
      <c r="B19" s="65" t="s">
        <v>6</v>
      </c>
      <c r="C19" s="65" t="s">
        <v>11</v>
      </c>
      <c r="D19" s="65" t="s">
        <v>48</v>
      </c>
      <c r="E19" s="65" t="s">
        <v>59</v>
      </c>
      <c r="F19" s="65" t="s">
        <v>32</v>
      </c>
      <c r="G19" s="65" t="s">
        <v>33</v>
      </c>
      <c r="H19" s="65" t="s">
        <v>34</v>
      </c>
      <c r="I19" s="66" t="s">
        <v>35</v>
      </c>
      <c r="J19" s="67" t="s">
        <v>39</v>
      </c>
      <c r="K19" s="111"/>
      <c r="L19" s="68" t="s">
        <v>36</v>
      </c>
      <c r="M19" s="68" t="s">
        <v>38</v>
      </c>
    </row>
    <row r="20" spans="1:13" ht="14.25" customHeight="1" x14ac:dyDescent="0.3">
      <c r="A20" s="9"/>
      <c r="B20" s="52"/>
      <c r="C20" s="52"/>
      <c r="D20" s="52"/>
      <c r="E20" s="52"/>
      <c r="F20" s="60"/>
      <c r="G20" s="60"/>
      <c r="H20" s="60"/>
      <c r="I20" s="62"/>
      <c r="J20" s="63"/>
      <c r="L20" s="59"/>
      <c r="M20" s="59"/>
    </row>
    <row r="21" spans="1:13" ht="14.25" customHeight="1" x14ac:dyDescent="0.3">
      <c r="A21" s="99">
        <v>1</v>
      </c>
      <c r="B21" s="97" t="s">
        <v>8</v>
      </c>
      <c r="C21" s="98">
        <f>'Price Sheet 1'!B401</f>
        <v>0</v>
      </c>
      <c r="D21" s="103">
        <f>'Price Sheet 1'!E425</f>
        <v>0</v>
      </c>
      <c r="E21" s="103">
        <f>'Price Sheet 1'!E424</f>
        <v>0</v>
      </c>
      <c r="F21" s="105">
        <f>'Price Sheet 1'!E413</f>
        <v>0</v>
      </c>
      <c r="G21" s="105">
        <f>'Price Sheet 1'!E414</f>
        <v>0</v>
      </c>
      <c r="H21" s="105">
        <f>'Price Sheet 1'!E415</f>
        <v>0</v>
      </c>
      <c r="I21" s="106">
        <f>'Price Sheet 1'!E416</f>
        <v>0</v>
      </c>
      <c r="J21" s="103">
        <f>'Price Sheet 1'!E431</f>
        <v>0</v>
      </c>
      <c r="L21" s="113" t="e">
        <f>'Price Sheet 1'!E437</f>
        <v>#DIV/0!</v>
      </c>
      <c r="M21" s="103">
        <f>'Price Sheet 1'!E436</f>
        <v>0</v>
      </c>
    </row>
    <row r="22" spans="1:13" ht="14.25" customHeight="1" x14ac:dyDescent="0.3">
      <c r="A22" s="100">
        <v>1</v>
      </c>
      <c r="B22" s="102"/>
      <c r="C22" s="102">
        <f>'Price Sheet 2'!B401</f>
        <v>0</v>
      </c>
      <c r="D22" s="104">
        <f>'Price Sheet 2'!E425</f>
        <v>0</v>
      </c>
      <c r="E22" s="104">
        <f>'Price Sheet 2'!E424</f>
        <v>0</v>
      </c>
      <c r="F22" s="107">
        <f>'Price Sheet 2'!E413</f>
        <v>0</v>
      </c>
      <c r="G22" s="107">
        <f>'Price Sheet 2'!E414</f>
        <v>0</v>
      </c>
      <c r="H22" s="107">
        <f>'Price Sheet 2'!E415</f>
        <v>0</v>
      </c>
      <c r="I22" s="108">
        <f>'Price Sheet 2'!E416</f>
        <v>0</v>
      </c>
      <c r="J22" s="104">
        <f>'Price Sheet 2'!E431</f>
        <v>0</v>
      </c>
      <c r="L22" s="114" t="e">
        <f>'Price Sheet 2'!E437</f>
        <v>#DIV/0!</v>
      </c>
      <c r="M22" s="104">
        <f>'Price Sheet 2'!E436</f>
        <v>0</v>
      </c>
    </row>
    <row r="23" spans="1:13" ht="14.25" customHeight="1" x14ac:dyDescent="0.3">
      <c r="A23" s="99">
        <v>1</v>
      </c>
      <c r="B23" s="97"/>
      <c r="C23" s="98">
        <f>'Price Sheet 3'!B401</f>
        <v>0</v>
      </c>
      <c r="D23" s="103">
        <f>'Price Sheet 3'!E425</f>
        <v>0</v>
      </c>
      <c r="E23" s="103">
        <f>'Price Sheet 3'!E424</f>
        <v>0</v>
      </c>
      <c r="F23" s="105">
        <f>'Price Sheet 3'!E413</f>
        <v>0</v>
      </c>
      <c r="G23" s="105">
        <f>'Price Sheet 3'!E414</f>
        <v>0</v>
      </c>
      <c r="H23" s="105">
        <f>'Price Sheet 3'!E415</f>
        <v>0</v>
      </c>
      <c r="I23" s="106">
        <f>'Price Sheet 3'!E416</f>
        <v>0</v>
      </c>
      <c r="J23" s="103">
        <f>'Price Sheet 3'!E431</f>
        <v>0</v>
      </c>
      <c r="L23" s="113" t="e">
        <f>'Price Sheet 3'!E437</f>
        <v>#DIV/0!</v>
      </c>
      <c r="M23" s="103">
        <f>'Price Sheet 3'!E436</f>
        <v>0</v>
      </c>
    </row>
    <row r="24" spans="1:13" ht="14.25" customHeight="1" x14ac:dyDescent="0.3">
      <c r="A24" s="100">
        <v>1</v>
      </c>
      <c r="B24" s="101"/>
      <c r="C24" s="102">
        <f>'Price Sheet 4'!B401</f>
        <v>0</v>
      </c>
      <c r="D24" s="104">
        <f>'Price Sheet 4'!E425</f>
        <v>0</v>
      </c>
      <c r="E24" s="104">
        <f>'Price Sheet 4'!E424</f>
        <v>0</v>
      </c>
      <c r="F24" s="107">
        <f>'Price Sheet 4'!E413</f>
        <v>0</v>
      </c>
      <c r="G24" s="107">
        <f>'Price Sheet 4'!E414</f>
        <v>0</v>
      </c>
      <c r="H24" s="107">
        <f>'Price Sheet 4'!E415</f>
        <v>0</v>
      </c>
      <c r="I24" s="108">
        <f>'Price Sheet 4'!E416</f>
        <v>0</v>
      </c>
      <c r="J24" s="104">
        <f>'Price Sheet 4'!E431</f>
        <v>0</v>
      </c>
      <c r="L24" s="114" t="e">
        <f>'Price Sheet 4'!E437</f>
        <v>#DIV/0!</v>
      </c>
      <c r="M24" s="104">
        <f>'Price Sheet 4'!E436</f>
        <v>0</v>
      </c>
    </row>
    <row r="25" spans="1:13" ht="14.25" customHeight="1" x14ac:dyDescent="0.3">
      <c r="A25" s="99">
        <v>1</v>
      </c>
      <c r="B25" s="98"/>
      <c r="C25" s="98">
        <f>'Price Sheet 5'!B401</f>
        <v>0</v>
      </c>
      <c r="D25" s="103">
        <f>'Price Sheet 5'!E425</f>
        <v>0</v>
      </c>
      <c r="E25" s="103">
        <f>'Price Sheet 5'!E424</f>
        <v>0</v>
      </c>
      <c r="F25" s="105">
        <f>'Price Sheet 5'!E413</f>
        <v>0</v>
      </c>
      <c r="G25" s="105">
        <f>'Price Sheet 5'!E414</f>
        <v>0</v>
      </c>
      <c r="H25" s="105">
        <f>'Price Sheet 5'!E415</f>
        <v>0</v>
      </c>
      <c r="I25" s="106">
        <f>'Price Sheet 5'!E416</f>
        <v>0</v>
      </c>
      <c r="J25" s="103">
        <f>'Price Sheet 5'!E431</f>
        <v>0</v>
      </c>
      <c r="L25" s="113" t="e">
        <f>'Price Sheet 5'!E437</f>
        <v>#DIV/0!</v>
      </c>
      <c r="M25" s="103">
        <f>'Price Sheet 5'!E436</f>
        <v>0</v>
      </c>
    </row>
    <row r="26" spans="1:13" ht="14.25" customHeight="1" x14ac:dyDescent="0.3">
      <c r="A26" s="100">
        <v>1</v>
      </c>
      <c r="B26" s="101"/>
      <c r="C26" s="102">
        <f>'Price Sheet 6'!B401</f>
        <v>0</v>
      </c>
      <c r="D26" s="104">
        <f>'Price Sheet 6'!E425</f>
        <v>0</v>
      </c>
      <c r="E26" s="104">
        <f>'Price Sheet 6'!E424</f>
        <v>0</v>
      </c>
      <c r="F26" s="107">
        <f>'Price Sheet 6'!E413</f>
        <v>0</v>
      </c>
      <c r="G26" s="107">
        <f>'Price Sheet 6'!E414</f>
        <v>0</v>
      </c>
      <c r="H26" s="107">
        <f>'Price Sheet 6'!E415</f>
        <v>0</v>
      </c>
      <c r="I26" s="108">
        <f>'Price Sheet 6'!E416</f>
        <v>0</v>
      </c>
      <c r="J26" s="104">
        <f>'Price Sheet 6'!E431</f>
        <v>0</v>
      </c>
      <c r="L26" s="114" t="e">
        <f>'Price Sheet 6'!E437</f>
        <v>#DIV/0!</v>
      </c>
      <c r="M26" s="104">
        <f>'Price Sheet 6'!E436</f>
        <v>0</v>
      </c>
    </row>
    <row r="27" spans="1:13" ht="14.25" customHeight="1" x14ac:dyDescent="0.3">
      <c r="A27" s="99">
        <v>1</v>
      </c>
      <c r="B27" s="97"/>
      <c r="C27" s="98">
        <f>'Price Sheet 7'!B401</f>
        <v>0</v>
      </c>
      <c r="D27" s="103">
        <f>'Price Sheet 7'!E425</f>
        <v>0</v>
      </c>
      <c r="E27" s="103">
        <f>'Price Sheet 7'!E424</f>
        <v>0</v>
      </c>
      <c r="F27" s="105">
        <f>'Price Sheet 7'!E413</f>
        <v>0</v>
      </c>
      <c r="G27" s="105">
        <f>'Price Sheet 7'!E414</f>
        <v>0</v>
      </c>
      <c r="H27" s="105">
        <f>'Price Sheet 7'!E415</f>
        <v>0</v>
      </c>
      <c r="I27" s="106">
        <f>'Price Sheet 7'!E416</f>
        <v>0</v>
      </c>
      <c r="J27" s="103">
        <f>'Price Sheet 7'!E431</f>
        <v>0</v>
      </c>
      <c r="L27" s="113" t="e">
        <f>'Price Sheet 7'!E437</f>
        <v>#DIV/0!</v>
      </c>
      <c r="M27" s="103">
        <f>'Price Sheet 7'!E436</f>
        <v>0</v>
      </c>
    </row>
    <row r="28" spans="1:13" ht="14.25" customHeight="1" x14ac:dyDescent="0.3">
      <c r="A28" s="100">
        <v>1</v>
      </c>
      <c r="B28" s="102"/>
      <c r="C28" s="102">
        <f>'Price Sheet 8'!B401</f>
        <v>0</v>
      </c>
      <c r="D28" s="104">
        <f>'Price Sheet 8'!E425</f>
        <v>0</v>
      </c>
      <c r="E28" s="104">
        <f>'Price Sheet 8'!E424</f>
        <v>0</v>
      </c>
      <c r="F28" s="107">
        <f>'Price Sheet 8'!E413</f>
        <v>0</v>
      </c>
      <c r="G28" s="107">
        <f>'Price Sheet 8'!E414</f>
        <v>0</v>
      </c>
      <c r="H28" s="107">
        <f>'Price Sheet 8'!E415</f>
        <v>0</v>
      </c>
      <c r="I28" s="108">
        <f>'Price Sheet 8'!E416</f>
        <v>0</v>
      </c>
      <c r="J28" s="104">
        <f>'Price Sheet 8'!E431</f>
        <v>0</v>
      </c>
      <c r="L28" s="114" t="e">
        <f>'Price Sheet 8'!E437</f>
        <v>#DIV/0!</v>
      </c>
      <c r="M28" s="104">
        <f>'Price Sheet 8'!E436</f>
        <v>0</v>
      </c>
    </row>
    <row r="29" spans="1:13" ht="14.25" customHeight="1" x14ac:dyDescent="0.3">
      <c r="A29" s="99">
        <v>1</v>
      </c>
      <c r="B29" s="97"/>
      <c r="C29" s="98">
        <f>'Price Sheet 9'!B401</f>
        <v>0</v>
      </c>
      <c r="D29" s="103">
        <f>'Price Sheet 9'!E425</f>
        <v>0</v>
      </c>
      <c r="E29" s="103">
        <f>'Price Sheet 9'!E424</f>
        <v>0</v>
      </c>
      <c r="F29" s="105">
        <f>'Price Sheet 9'!E413</f>
        <v>0</v>
      </c>
      <c r="G29" s="105">
        <f>'Price Sheet 9'!E414</f>
        <v>0</v>
      </c>
      <c r="H29" s="105">
        <f>'Price Sheet 9'!E415</f>
        <v>0</v>
      </c>
      <c r="I29" s="106">
        <f>'Price Sheet 9'!E416</f>
        <v>0</v>
      </c>
      <c r="J29" s="103">
        <f>'Price Sheet 9'!E431</f>
        <v>0</v>
      </c>
      <c r="L29" s="113" t="e">
        <f>'Price Sheet 9'!E437</f>
        <v>#DIV/0!</v>
      </c>
      <c r="M29" s="103">
        <f>'Price Sheet 9'!E436</f>
        <v>0</v>
      </c>
    </row>
    <row r="30" spans="1:13" ht="14.25" customHeight="1" x14ac:dyDescent="0.3">
      <c r="A30" s="100">
        <v>1</v>
      </c>
      <c r="B30" s="101"/>
      <c r="C30" s="102">
        <f>'Price Sheet 10'!B401</f>
        <v>0</v>
      </c>
      <c r="D30" s="104">
        <f>'Price Sheet 10'!E425</f>
        <v>0</v>
      </c>
      <c r="E30" s="104">
        <f>'Price Sheet 10'!E424</f>
        <v>0</v>
      </c>
      <c r="F30" s="107">
        <f>'Price Sheet 10'!E413</f>
        <v>0</v>
      </c>
      <c r="G30" s="107">
        <f>'Price Sheet 10'!E414</f>
        <v>0</v>
      </c>
      <c r="H30" s="107">
        <f>'Price Sheet 10'!E415</f>
        <v>0</v>
      </c>
      <c r="I30" s="108">
        <f>'Price Sheet 10'!E416</f>
        <v>0</v>
      </c>
      <c r="J30" s="104">
        <f>'Price Sheet 10'!E431</f>
        <v>0</v>
      </c>
      <c r="L30" s="114" t="e">
        <f>'Price Sheet 10'!E437</f>
        <v>#DIV/0!</v>
      </c>
      <c r="M30" s="104">
        <f>'Price Sheet 10'!E436</f>
        <v>0</v>
      </c>
    </row>
    <row r="31" spans="1:13" ht="14.25" customHeight="1" x14ac:dyDescent="0.3">
      <c r="A31" s="77"/>
      <c r="B31" s="78"/>
      <c r="C31" s="78"/>
      <c r="D31" s="78"/>
      <c r="E31" s="78"/>
      <c r="F31" s="79"/>
      <c r="G31" s="79"/>
      <c r="H31" s="79"/>
      <c r="I31" s="80"/>
      <c r="J31" s="76"/>
      <c r="L31" s="76"/>
      <c r="M31" s="76"/>
    </row>
    <row r="32" spans="1:13" ht="14.25" customHeight="1" x14ac:dyDescent="0.3">
      <c r="A32" s="54"/>
      <c r="B32" s="61" t="s">
        <v>7</v>
      </c>
      <c r="C32" s="53">
        <f>SUM(C21:C31)</f>
        <v>0</v>
      </c>
      <c r="D32" s="112">
        <f>SUM(D21:D31)</f>
        <v>0</v>
      </c>
      <c r="E32" s="112">
        <f>SUM(E21:E31)</f>
        <v>0</v>
      </c>
      <c r="F32" s="109">
        <f>SUM(F20:F31)</f>
        <v>0</v>
      </c>
      <c r="G32" s="109">
        <f t="shared" ref="G32:J32" si="0">SUM(G20:G31)</f>
        <v>0</v>
      </c>
      <c r="H32" s="109">
        <f t="shared" si="0"/>
        <v>0</v>
      </c>
      <c r="I32" s="110">
        <f t="shared" si="0"/>
        <v>0</v>
      </c>
      <c r="J32" s="109">
        <f t="shared" si="0"/>
        <v>0</v>
      </c>
      <c r="L32" s="73" t="e">
        <f>AVERAGE(L21:L31)</f>
        <v>#DIV/0!</v>
      </c>
      <c r="M32" s="55">
        <f>SUM(M21:M31)</f>
        <v>0</v>
      </c>
    </row>
    <row r="33" spans="1:11" ht="14.25" customHeight="1" x14ac:dyDescent="0.3">
      <c r="A33" s="10"/>
      <c r="F33" s="11"/>
      <c r="G33" s="11"/>
      <c r="H33" s="11"/>
      <c r="I33" s="11"/>
      <c r="J33" s="11"/>
    </row>
    <row r="34" spans="1:11" ht="14.25" customHeight="1" x14ac:dyDescent="0.3">
      <c r="A34" s="10"/>
      <c r="G34" s="12"/>
      <c r="H34" s="12"/>
      <c r="I34" s="12"/>
      <c r="J34" s="12"/>
      <c r="K34" s="1"/>
    </row>
    <row r="35" spans="1:11" ht="14.25" customHeight="1" x14ac:dyDescent="0.3">
      <c r="A35" s="10"/>
      <c r="B35" s="64" t="s">
        <v>58</v>
      </c>
      <c r="C35" s="55">
        <f>F32+G32+H32+I32</f>
        <v>0</v>
      </c>
      <c r="D35" s="92"/>
      <c r="E35" s="92"/>
      <c r="G35" s="12"/>
      <c r="H35" s="12"/>
      <c r="I35" s="12"/>
      <c r="J35" s="12"/>
      <c r="K35" s="1"/>
    </row>
    <row r="36" spans="1:11" ht="14.25" customHeight="1" x14ac:dyDescent="0.3">
      <c r="A36" s="10"/>
      <c r="B36" s="75" t="s">
        <v>9</v>
      </c>
      <c r="C36" s="96">
        <v>0.4</v>
      </c>
      <c r="D36" s="93"/>
      <c r="E36" s="93"/>
      <c r="G36" s="12"/>
      <c r="H36" s="12"/>
      <c r="I36" s="12"/>
      <c r="J36" s="12"/>
      <c r="K36" s="1"/>
    </row>
    <row r="37" spans="1:11" ht="14.25" customHeight="1" x14ac:dyDescent="0.3">
      <c r="A37" s="10"/>
      <c r="B37" s="71" t="s">
        <v>37</v>
      </c>
      <c r="C37" s="72">
        <f>C35*(1+C36)</f>
        <v>0</v>
      </c>
      <c r="D37" s="92"/>
      <c r="E37" s="92"/>
      <c r="G37" s="12"/>
      <c r="H37" s="12"/>
      <c r="I37" s="12"/>
      <c r="J37" s="12"/>
      <c r="K37" s="1"/>
    </row>
    <row r="38" spans="1:11" ht="14.25" customHeight="1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"/>
    </row>
    <row r="39" spans="1:11" ht="14.25" customHeight="1" x14ac:dyDescent="0.3">
      <c r="A39" s="10"/>
      <c r="B39" s="12"/>
      <c r="C39" s="12"/>
      <c r="D39" s="12"/>
      <c r="E39" s="12"/>
      <c r="F39" s="12"/>
      <c r="G39" s="12"/>
      <c r="H39" s="12"/>
      <c r="I39" s="12"/>
      <c r="J39" s="12"/>
      <c r="K39" s="1"/>
    </row>
    <row r="40" spans="1:11" ht="14.25" customHeight="1" x14ac:dyDescent="0.3">
      <c r="A40" s="10"/>
      <c r="B40" s="64" t="s">
        <v>47</v>
      </c>
      <c r="C40" s="55">
        <f>E32</f>
        <v>0</v>
      </c>
      <c r="D40" s="12"/>
      <c r="E40" s="12"/>
      <c r="F40" s="12"/>
      <c r="G40" s="12"/>
      <c r="H40" s="12"/>
      <c r="I40" s="12"/>
      <c r="J40" s="12"/>
      <c r="K40" s="1"/>
    </row>
    <row r="41" spans="1:11" ht="14.25" customHeight="1" x14ac:dyDescent="0.3">
      <c r="A41" s="10"/>
      <c r="B41" s="75" t="s">
        <v>50</v>
      </c>
      <c r="C41" s="76">
        <f>D32</f>
        <v>0</v>
      </c>
      <c r="D41" s="92"/>
      <c r="E41" s="92"/>
      <c r="G41" s="12"/>
      <c r="H41" s="12"/>
      <c r="I41" s="12"/>
      <c r="J41" s="12"/>
      <c r="K41" s="1"/>
    </row>
    <row r="42" spans="1:11" ht="14.25" customHeight="1" x14ac:dyDescent="0.3">
      <c r="B42" s="64" t="s">
        <v>9</v>
      </c>
      <c r="C42" s="30">
        <v>0.25</v>
      </c>
      <c r="D42" s="94"/>
      <c r="E42" s="94"/>
      <c r="K42" s="1"/>
    </row>
    <row r="43" spans="1:11" ht="14.25" customHeight="1" x14ac:dyDescent="0.3">
      <c r="B43" s="71" t="s">
        <v>37</v>
      </c>
      <c r="C43" s="74">
        <f>(C40+C41)*(1+C42)</f>
        <v>0</v>
      </c>
      <c r="D43" s="95"/>
      <c r="E43" s="95"/>
      <c r="K43" s="1"/>
    </row>
    <row r="44" spans="1:11" ht="14.25" customHeight="1" x14ac:dyDescent="0.3">
      <c r="K44" s="1"/>
    </row>
    <row r="45" spans="1:11" ht="14.25" customHeight="1" x14ac:dyDescent="0.3">
      <c r="K45" s="1"/>
    </row>
    <row r="46" spans="1:11" ht="14.25" customHeight="1" x14ac:dyDescent="0.3">
      <c r="B46" s="64" t="s">
        <v>40</v>
      </c>
      <c r="C46" s="55">
        <f>J32</f>
        <v>0</v>
      </c>
      <c r="K46" s="1"/>
    </row>
    <row r="47" spans="1:11" ht="14.25" customHeight="1" x14ac:dyDescent="0.3">
      <c r="B47" s="75" t="s">
        <v>9</v>
      </c>
      <c r="C47" s="34">
        <v>0.25</v>
      </c>
      <c r="D47" s="95"/>
      <c r="E47" s="95"/>
      <c r="K47" s="1"/>
    </row>
    <row r="48" spans="1:11" ht="14.25" customHeight="1" x14ac:dyDescent="0.3">
      <c r="B48" s="71" t="s">
        <v>37</v>
      </c>
      <c r="C48" s="74">
        <f>C46*(1+C47)</f>
        <v>0</v>
      </c>
      <c r="D48" s="94"/>
      <c r="E48" s="94"/>
      <c r="K48" s="1"/>
    </row>
    <row r="49" spans="2:11" ht="14.25" customHeight="1" x14ac:dyDescent="0.3">
      <c r="K49" s="1"/>
    </row>
    <row r="50" spans="2:11" ht="14.25" customHeight="1" x14ac:dyDescent="0.3">
      <c r="K50" s="1"/>
    </row>
    <row r="51" spans="2:11" ht="14.25" customHeight="1" x14ac:dyDescent="0.3">
      <c r="B51" s="69" t="s">
        <v>38</v>
      </c>
      <c r="C51" s="70">
        <f>C37+C43+C48</f>
        <v>0</v>
      </c>
      <c r="K51" s="1"/>
    </row>
    <row r="52" spans="2:11" ht="14.25" customHeight="1" x14ac:dyDescent="0.3">
      <c r="B52" s="69" t="s">
        <v>41</v>
      </c>
      <c r="C52" s="45" t="e">
        <f>(C51-(C35+C40+C41+C46))/C51</f>
        <v>#DIV/0!</v>
      </c>
      <c r="K52" s="1"/>
    </row>
    <row r="53" spans="2:11" ht="14.25" customHeight="1" x14ac:dyDescent="0.3">
      <c r="K53" s="1"/>
    </row>
    <row r="54" spans="2:11" ht="14.25" customHeight="1" x14ac:dyDescent="0.3">
      <c r="K54" s="1"/>
    </row>
    <row r="55" spans="2:11" ht="14.25" customHeight="1" x14ac:dyDescent="0.3">
      <c r="K55" s="1"/>
    </row>
    <row r="56" spans="2:11" ht="14.25" customHeight="1" x14ac:dyDescent="0.3">
      <c r="K56" s="1"/>
    </row>
    <row r="57" spans="2:11" ht="14.25" customHeight="1" x14ac:dyDescent="0.3">
      <c r="K57" s="1"/>
    </row>
    <row r="58" spans="2:11" ht="14.25" customHeight="1" x14ac:dyDescent="0.3">
      <c r="K58" s="1"/>
    </row>
    <row r="59" spans="2:11" ht="14.25" customHeight="1" x14ac:dyDescent="0.3">
      <c r="K59" s="1"/>
    </row>
    <row r="60" spans="2:11" ht="14.25" customHeight="1" x14ac:dyDescent="0.3">
      <c r="K60" s="1"/>
    </row>
    <row r="61" spans="2:11" ht="14.25" customHeight="1" x14ac:dyDescent="0.3">
      <c r="K61" s="1"/>
    </row>
    <row r="62" spans="2:11" ht="14.25" customHeight="1" x14ac:dyDescent="0.3">
      <c r="K62" s="1"/>
    </row>
    <row r="63" spans="2:11" ht="14.25" customHeight="1" x14ac:dyDescent="0.3">
      <c r="K63" s="1"/>
    </row>
    <row r="64" spans="2:11" ht="14.25" customHeight="1" x14ac:dyDescent="0.3">
      <c r="K64" s="1"/>
    </row>
    <row r="65" spans="11:11" ht="14.25" customHeight="1" x14ac:dyDescent="0.3">
      <c r="K65" s="1"/>
    </row>
    <row r="66" spans="11:11" ht="14.25" customHeight="1" x14ac:dyDescent="0.3">
      <c r="K66" s="1"/>
    </row>
    <row r="67" spans="11:11" ht="14.25" customHeight="1" x14ac:dyDescent="0.3">
      <c r="K67" s="1"/>
    </row>
    <row r="68" spans="11:11" ht="14.25" customHeight="1" x14ac:dyDescent="0.3">
      <c r="K68" s="1"/>
    </row>
    <row r="69" spans="11:11" ht="14.25" customHeight="1" x14ac:dyDescent="0.3">
      <c r="K69" s="1"/>
    </row>
    <row r="70" spans="11:11" ht="14.25" customHeight="1" x14ac:dyDescent="0.3">
      <c r="K70" s="1"/>
    </row>
    <row r="71" spans="11:11" ht="14.25" customHeight="1" x14ac:dyDescent="0.3">
      <c r="K71" s="1"/>
    </row>
    <row r="72" spans="11:11" ht="14.25" customHeight="1" x14ac:dyDescent="0.3">
      <c r="K72" s="1"/>
    </row>
    <row r="73" spans="11:11" ht="14.25" customHeight="1" x14ac:dyDescent="0.3">
      <c r="K73" s="1"/>
    </row>
    <row r="74" spans="11:11" ht="14.25" customHeight="1" x14ac:dyDescent="0.3">
      <c r="K74" s="1"/>
    </row>
    <row r="75" spans="11:11" ht="14.25" customHeight="1" x14ac:dyDescent="0.3">
      <c r="K75" s="1"/>
    </row>
    <row r="76" spans="11:11" ht="14.25" customHeight="1" x14ac:dyDescent="0.3">
      <c r="K76" s="1"/>
    </row>
    <row r="77" spans="11:11" ht="14.25" customHeight="1" x14ac:dyDescent="0.3">
      <c r="K77" s="1"/>
    </row>
    <row r="78" spans="11:11" ht="14.25" customHeight="1" x14ac:dyDescent="0.3">
      <c r="K78" s="1"/>
    </row>
    <row r="79" spans="11:11" ht="14.25" customHeight="1" x14ac:dyDescent="0.3">
      <c r="K79" s="1"/>
    </row>
    <row r="80" spans="11:11" ht="14.25" customHeight="1" x14ac:dyDescent="0.3">
      <c r="K80" s="1"/>
    </row>
    <row r="81" spans="11:11" ht="14.25" customHeight="1" x14ac:dyDescent="0.3">
      <c r="K81" s="1"/>
    </row>
    <row r="82" spans="11:11" ht="14.25" customHeight="1" x14ac:dyDescent="0.3">
      <c r="K82" s="1"/>
    </row>
    <row r="83" spans="11:11" ht="14.25" customHeight="1" x14ac:dyDescent="0.3">
      <c r="K83" s="1"/>
    </row>
    <row r="84" spans="11:11" ht="14.25" customHeight="1" x14ac:dyDescent="0.3">
      <c r="K84" s="1"/>
    </row>
    <row r="85" spans="11:11" ht="14.25" customHeight="1" x14ac:dyDescent="0.3">
      <c r="K85" s="1"/>
    </row>
    <row r="86" spans="11:11" ht="14.25" customHeight="1" x14ac:dyDescent="0.3">
      <c r="K86" s="1"/>
    </row>
    <row r="87" spans="11:11" ht="14.25" customHeight="1" x14ac:dyDescent="0.3">
      <c r="K87" s="1"/>
    </row>
    <row r="88" spans="11:11" ht="14.25" customHeight="1" x14ac:dyDescent="0.3">
      <c r="K88" s="1"/>
    </row>
    <row r="89" spans="11:11" ht="14.25" customHeight="1" x14ac:dyDescent="0.3">
      <c r="K89" s="1"/>
    </row>
    <row r="90" spans="11:11" ht="14.25" customHeight="1" x14ac:dyDescent="0.3">
      <c r="K90" s="1"/>
    </row>
    <row r="91" spans="11:11" ht="14.25" customHeight="1" x14ac:dyDescent="0.3">
      <c r="K91" s="1"/>
    </row>
    <row r="92" spans="11:11" ht="14.25" customHeight="1" x14ac:dyDescent="0.3">
      <c r="K92" s="1"/>
    </row>
    <row r="93" spans="11:11" ht="14.25" customHeight="1" x14ac:dyDescent="0.3">
      <c r="K93" s="1"/>
    </row>
    <row r="94" spans="11:11" ht="14.25" customHeight="1" x14ac:dyDescent="0.3">
      <c r="K94" s="1"/>
    </row>
    <row r="95" spans="11:11" ht="14.25" customHeight="1" x14ac:dyDescent="0.3">
      <c r="K95" s="1"/>
    </row>
    <row r="96" spans="11:11" ht="14.25" customHeight="1" x14ac:dyDescent="0.3">
      <c r="K96" s="1"/>
    </row>
    <row r="97" spans="11:11" ht="14.25" customHeight="1" x14ac:dyDescent="0.3">
      <c r="K97" s="1"/>
    </row>
    <row r="98" spans="11:11" ht="14.25" customHeight="1" x14ac:dyDescent="0.3">
      <c r="K98" s="1"/>
    </row>
    <row r="99" spans="11:11" ht="14.25" customHeight="1" x14ac:dyDescent="0.3">
      <c r="K99" s="1"/>
    </row>
    <row r="100" spans="11:11" ht="14.25" customHeight="1" x14ac:dyDescent="0.3">
      <c r="K100" s="1"/>
    </row>
    <row r="101" spans="11:11" ht="14.25" customHeight="1" x14ac:dyDescent="0.3">
      <c r="K101" s="1"/>
    </row>
    <row r="102" spans="11:11" ht="14.25" customHeight="1" x14ac:dyDescent="0.3">
      <c r="K102" s="1"/>
    </row>
    <row r="103" spans="11:11" ht="14.25" customHeight="1" x14ac:dyDescent="0.3">
      <c r="K103" s="1"/>
    </row>
    <row r="104" spans="11:11" ht="14.25" customHeight="1" x14ac:dyDescent="0.3">
      <c r="K104" s="1"/>
    </row>
    <row r="105" spans="11:11" ht="14.25" customHeight="1" x14ac:dyDescent="0.3">
      <c r="K105" s="1"/>
    </row>
    <row r="106" spans="11:11" ht="14.25" customHeight="1" x14ac:dyDescent="0.3">
      <c r="K106" s="1"/>
    </row>
    <row r="107" spans="11:11" ht="14.25" customHeight="1" x14ac:dyDescent="0.3">
      <c r="K107" s="1"/>
    </row>
    <row r="108" spans="11:11" ht="14.25" customHeight="1" x14ac:dyDescent="0.3">
      <c r="K108" s="1"/>
    </row>
    <row r="109" spans="11:11" ht="14.25" customHeight="1" x14ac:dyDescent="0.3">
      <c r="K109" s="1"/>
    </row>
    <row r="110" spans="11:11" ht="14.25" customHeight="1" x14ac:dyDescent="0.3">
      <c r="K110" s="1"/>
    </row>
    <row r="111" spans="11:11" ht="14.25" customHeight="1" x14ac:dyDescent="0.3">
      <c r="K111" s="1"/>
    </row>
    <row r="112" spans="11:11" ht="14.25" customHeight="1" x14ac:dyDescent="0.3">
      <c r="K112" s="1"/>
    </row>
    <row r="113" spans="11:11" ht="14.25" customHeight="1" x14ac:dyDescent="0.3">
      <c r="K113" s="1"/>
    </row>
    <row r="114" spans="11:11" ht="14.25" customHeight="1" x14ac:dyDescent="0.3">
      <c r="K114" s="1"/>
    </row>
    <row r="115" spans="11:11" ht="14.25" customHeight="1" x14ac:dyDescent="0.3">
      <c r="K115" s="1"/>
    </row>
    <row r="116" spans="11:11" ht="14.25" customHeight="1" x14ac:dyDescent="0.3">
      <c r="K116" s="1"/>
    </row>
    <row r="117" spans="11:11" ht="14.25" customHeight="1" x14ac:dyDescent="0.3">
      <c r="K117" s="1"/>
    </row>
    <row r="118" spans="11:11" ht="14.25" customHeight="1" x14ac:dyDescent="0.3">
      <c r="K118" s="1"/>
    </row>
    <row r="119" spans="11:11" ht="14.25" customHeight="1" x14ac:dyDescent="0.3">
      <c r="K119" s="1"/>
    </row>
    <row r="120" spans="11:11" ht="14.25" customHeight="1" x14ac:dyDescent="0.3">
      <c r="K120" s="1"/>
    </row>
    <row r="121" spans="11:11" ht="14.25" customHeight="1" x14ac:dyDescent="0.3">
      <c r="K121" s="1"/>
    </row>
    <row r="122" spans="11:11" ht="14.25" customHeight="1" x14ac:dyDescent="0.3">
      <c r="K122" s="1"/>
    </row>
    <row r="123" spans="11:11" ht="14.25" customHeight="1" x14ac:dyDescent="0.3">
      <c r="K123" s="1"/>
    </row>
    <row r="124" spans="11:11" ht="14.25" customHeight="1" x14ac:dyDescent="0.3">
      <c r="K124" s="1"/>
    </row>
    <row r="125" spans="11:11" ht="14.25" customHeight="1" x14ac:dyDescent="0.3">
      <c r="K125" s="1"/>
    </row>
    <row r="126" spans="11:11" ht="14.25" customHeight="1" x14ac:dyDescent="0.3">
      <c r="K126" s="1"/>
    </row>
    <row r="127" spans="11:11" ht="14.25" customHeight="1" x14ac:dyDescent="0.3">
      <c r="K127" s="1"/>
    </row>
    <row r="128" spans="11:11" ht="14.25" customHeight="1" x14ac:dyDescent="0.3">
      <c r="K128" s="1"/>
    </row>
    <row r="129" spans="11:11" ht="14.25" customHeight="1" x14ac:dyDescent="0.3">
      <c r="K129" s="1"/>
    </row>
    <row r="130" spans="11:11" ht="14.25" customHeight="1" x14ac:dyDescent="0.3">
      <c r="K130" s="1"/>
    </row>
    <row r="131" spans="11:11" ht="14.25" customHeight="1" x14ac:dyDescent="0.3">
      <c r="K131" s="1"/>
    </row>
    <row r="132" spans="11:11" ht="14.25" customHeight="1" x14ac:dyDescent="0.3">
      <c r="K132" s="1"/>
    </row>
    <row r="133" spans="11:11" ht="14.25" customHeight="1" x14ac:dyDescent="0.3">
      <c r="K133" s="1"/>
    </row>
    <row r="134" spans="11:11" ht="14.25" customHeight="1" x14ac:dyDescent="0.3">
      <c r="K134" s="1"/>
    </row>
    <row r="135" spans="11:11" ht="14.25" customHeight="1" x14ac:dyDescent="0.3">
      <c r="K135" s="1"/>
    </row>
    <row r="136" spans="11:11" ht="14.25" customHeight="1" x14ac:dyDescent="0.3">
      <c r="K136" s="1"/>
    </row>
    <row r="137" spans="11:11" ht="14.25" customHeight="1" x14ac:dyDescent="0.3">
      <c r="K137" s="1"/>
    </row>
    <row r="138" spans="11:11" ht="14.25" customHeight="1" x14ac:dyDescent="0.3">
      <c r="K138" s="1"/>
    </row>
    <row r="139" spans="11:11" ht="14.25" customHeight="1" x14ac:dyDescent="0.3">
      <c r="K139" s="1"/>
    </row>
    <row r="140" spans="11:11" ht="14.25" customHeight="1" x14ac:dyDescent="0.3">
      <c r="K140" s="1"/>
    </row>
    <row r="141" spans="11:11" ht="14.25" customHeight="1" x14ac:dyDescent="0.3">
      <c r="K141" s="1"/>
    </row>
    <row r="142" spans="11:11" ht="14.25" customHeight="1" x14ac:dyDescent="0.3">
      <c r="K142" s="1"/>
    </row>
    <row r="143" spans="11:11" ht="14.25" customHeight="1" x14ac:dyDescent="0.3">
      <c r="K143" s="1"/>
    </row>
    <row r="144" spans="11:11" ht="14.25" customHeight="1" x14ac:dyDescent="0.3">
      <c r="K144" s="1"/>
    </row>
    <row r="145" spans="11:11" ht="14.25" customHeight="1" x14ac:dyDescent="0.3">
      <c r="K145" s="1"/>
    </row>
    <row r="146" spans="11:11" ht="14.25" customHeight="1" x14ac:dyDescent="0.3">
      <c r="K146" s="1"/>
    </row>
    <row r="147" spans="11:11" ht="14.25" customHeight="1" x14ac:dyDescent="0.3">
      <c r="K147" s="1"/>
    </row>
    <row r="148" spans="11:11" ht="14.25" customHeight="1" x14ac:dyDescent="0.3">
      <c r="K148" s="1"/>
    </row>
    <row r="149" spans="11:11" ht="14.25" customHeight="1" x14ac:dyDescent="0.3">
      <c r="K149" s="1"/>
    </row>
    <row r="150" spans="11:11" ht="14.25" customHeight="1" x14ac:dyDescent="0.3">
      <c r="K150" s="1"/>
    </row>
    <row r="151" spans="11:11" ht="14.25" customHeight="1" x14ac:dyDescent="0.3">
      <c r="K151" s="1"/>
    </row>
    <row r="152" spans="11:11" ht="14.25" customHeight="1" x14ac:dyDescent="0.3">
      <c r="K152" s="1"/>
    </row>
    <row r="153" spans="11:11" ht="14.25" customHeight="1" x14ac:dyDescent="0.3">
      <c r="K153" s="1"/>
    </row>
    <row r="154" spans="11:11" ht="14.25" customHeight="1" x14ac:dyDescent="0.3">
      <c r="K154" s="1"/>
    </row>
    <row r="155" spans="11:11" ht="14.25" customHeight="1" x14ac:dyDescent="0.3">
      <c r="K155" s="1"/>
    </row>
    <row r="156" spans="11:11" ht="14.25" customHeight="1" x14ac:dyDescent="0.3">
      <c r="K156" s="1"/>
    </row>
    <row r="157" spans="11:11" ht="14.25" customHeight="1" x14ac:dyDescent="0.3">
      <c r="K157" s="1"/>
    </row>
    <row r="158" spans="11:11" ht="14.25" customHeight="1" x14ac:dyDescent="0.3">
      <c r="K158" s="1"/>
    </row>
    <row r="159" spans="11:11" ht="14.25" customHeight="1" x14ac:dyDescent="0.3">
      <c r="K159" s="1"/>
    </row>
    <row r="160" spans="11:11" ht="14.25" customHeight="1" x14ac:dyDescent="0.3">
      <c r="K160" s="1"/>
    </row>
    <row r="161" spans="11:11" ht="14.25" customHeight="1" x14ac:dyDescent="0.3">
      <c r="K161" s="1"/>
    </row>
    <row r="162" spans="11:11" ht="14.25" customHeight="1" x14ac:dyDescent="0.3">
      <c r="K162" s="1"/>
    </row>
    <row r="163" spans="11:11" ht="14.25" customHeight="1" x14ac:dyDescent="0.3">
      <c r="K163" s="1"/>
    </row>
    <row r="164" spans="11:11" ht="14.25" customHeight="1" x14ac:dyDescent="0.3">
      <c r="K164" s="1"/>
    </row>
    <row r="165" spans="11:11" ht="14.25" customHeight="1" x14ac:dyDescent="0.3">
      <c r="K165" s="1"/>
    </row>
    <row r="166" spans="11:11" ht="14.25" customHeight="1" x14ac:dyDescent="0.3">
      <c r="K166" s="1"/>
    </row>
    <row r="167" spans="11:11" ht="14.25" customHeight="1" x14ac:dyDescent="0.3">
      <c r="K167" s="1"/>
    </row>
    <row r="168" spans="11:11" ht="14.25" customHeight="1" x14ac:dyDescent="0.3">
      <c r="K168" s="1"/>
    </row>
    <row r="169" spans="11:11" ht="14.25" customHeight="1" x14ac:dyDescent="0.3">
      <c r="K169" s="1"/>
    </row>
    <row r="170" spans="11:11" ht="14.25" customHeight="1" x14ac:dyDescent="0.3">
      <c r="K170" s="1"/>
    </row>
    <row r="171" spans="11:11" ht="14.25" customHeight="1" x14ac:dyDescent="0.3">
      <c r="K171" s="1"/>
    </row>
    <row r="172" spans="11:11" ht="14.25" customHeight="1" x14ac:dyDescent="0.3">
      <c r="K172" s="1"/>
    </row>
    <row r="173" spans="11:11" ht="14.25" customHeight="1" x14ac:dyDescent="0.3">
      <c r="K173" s="1"/>
    </row>
    <row r="174" spans="11:11" ht="14.25" customHeight="1" x14ac:dyDescent="0.3">
      <c r="K174" s="1"/>
    </row>
    <row r="175" spans="11:11" ht="14.25" customHeight="1" x14ac:dyDescent="0.3">
      <c r="K175" s="1"/>
    </row>
    <row r="176" spans="11:11" ht="14.25" customHeight="1" x14ac:dyDescent="0.3">
      <c r="K176" s="1"/>
    </row>
    <row r="177" spans="11:11" ht="14.25" customHeight="1" x14ac:dyDescent="0.3">
      <c r="K177" s="1"/>
    </row>
    <row r="178" spans="11:11" ht="14.25" customHeight="1" x14ac:dyDescent="0.3">
      <c r="K178" s="1"/>
    </row>
    <row r="179" spans="11:11" ht="14.25" customHeight="1" x14ac:dyDescent="0.3">
      <c r="K179" s="1"/>
    </row>
    <row r="180" spans="11:11" ht="14.25" customHeight="1" x14ac:dyDescent="0.3">
      <c r="K180" s="1"/>
    </row>
    <row r="181" spans="11:11" ht="14.25" customHeight="1" x14ac:dyDescent="0.3">
      <c r="K181" s="1"/>
    </row>
    <row r="182" spans="11:11" ht="14.25" customHeight="1" x14ac:dyDescent="0.3">
      <c r="K182" s="1"/>
    </row>
    <row r="183" spans="11:11" ht="14.25" customHeight="1" x14ac:dyDescent="0.3">
      <c r="K183" s="1"/>
    </row>
    <row r="184" spans="11:11" ht="14.25" customHeight="1" x14ac:dyDescent="0.3">
      <c r="K184" s="1"/>
    </row>
    <row r="185" spans="11:11" ht="14.25" customHeight="1" x14ac:dyDescent="0.3">
      <c r="K185" s="1"/>
    </row>
    <row r="186" spans="11:11" ht="14.25" customHeight="1" x14ac:dyDescent="0.3">
      <c r="K186" s="1"/>
    </row>
    <row r="187" spans="11:11" ht="14.25" customHeight="1" x14ac:dyDescent="0.3">
      <c r="K187" s="1"/>
    </row>
    <row r="188" spans="11:11" ht="14.25" customHeight="1" x14ac:dyDescent="0.3">
      <c r="K188" s="1"/>
    </row>
    <row r="189" spans="11:11" ht="14.25" customHeight="1" x14ac:dyDescent="0.3">
      <c r="K189" s="1"/>
    </row>
    <row r="190" spans="11:11" ht="14.25" customHeight="1" x14ac:dyDescent="0.3">
      <c r="K190" s="1"/>
    </row>
    <row r="191" spans="11:11" ht="14.25" customHeight="1" x14ac:dyDescent="0.3">
      <c r="K191" s="1"/>
    </row>
    <row r="192" spans="11:11" ht="14.25" customHeight="1" x14ac:dyDescent="0.3">
      <c r="K192" s="1"/>
    </row>
    <row r="193" spans="11:11" ht="14.25" customHeight="1" x14ac:dyDescent="0.3">
      <c r="K193" s="1"/>
    </row>
    <row r="194" spans="11:11" ht="14.25" customHeight="1" x14ac:dyDescent="0.3">
      <c r="K194" s="1"/>
    </row>
    <row r="195" spans="11:11" ht="14.25" customHeight="1" x14ac:dyDescent="0.3">
      <c r="K195" s="1"/>
    </row>
    <row r="196" spans="11:11" ht="14.25" customHeight="1" x14ac:dyDescent="0.3">
      <c r="K196" s="1"/>
    </row>
    <row r="197" spans="11:11" ht="14.25" customHeight="1" x14ac:dyDescent="0.3">
      <c r="K197" s="1"/>
    </row>
    <row r="198" spans="11:11" ht="14.25" customHeight="1" x14ac:dyDescent="0.3">
      <c r="K198" s="1"/>
    </row>
    <row r="199" spans="11:11" ht="14.25" customHeight="1" x14ac:dyDescent="0.3">
      <c r="K199" s="1"/>
    </row>
    <row r="200" spans="11:11" ht="14.25" customHeight="1" x14ac:dyDescent="0.3">
      <c r="K200" s="1"/>
    </row>
    <row r="201" spans="11:11" ht="14.25" customHeight="1" x14ac:dyDescent="0.3">
      <c r="K201" s="1"/>
    </row>
    <row r="202" spans="11:11" ht="14.25" customHeight="1" x14ac:dyDescent="0.3">
      <c r="K202" s="1"/>
    </row>
    <row r="203" spans="11:11" ht="14.25" customHeight="1" x14ac:dyDescent="0.3">
      <c r="K203" s="1"/>
    </row>
    <row r="204" spans="11:11" ht="14.25" customHeight="1" x14ac:dyDescent="0.3">
      <c r="K204" s="1"/>
    </row>
    <row r="205" spans="11:11" ht="14.25" customHeight="1" x14ac:dyDescent="0.3">
      <c r="K205" s="1"/>
    </row>
    <row r="206" spans="11:11" ht="14.25" customHeight="1" x14ac:dyDescent="0.3">
      <c r="K206" s="1"/>
    </row>
    <row r="207" spans="11:11" ht="14.25" customHeight="1" x14ac:dyDescent="0.3">
      <c r="K207" s="1"/>
    </row>
    <row r="208" spans="11:11" ht="14.25" customHeight="1" x14ac:dyDescent="0.3">
      <c r="K208" s="1"/>
    </row>
    <row r="209" spans="11:11" ht="14.25" customHeight="1" x14ac:dyDescent="0.3">
      <c r="K209" s="1"/>
    </row>
    <row r="210" spans="11:11" ht="14.25" customHeight="1" x14ac:dyDescent="0.3">
      <c r="K210" s="1"/>
    </row>
    <row r="211" spans="11:11" ht="14.25" customHeight="1" x14ac:dyDescent="0.3">
      <c r="K211" s="1"/>
    </row>
    <row r="212" spans="11:11" ht="14.25" customHeight="1" x14ac:dyDescent="0.3">
      <c r="K212" s="1"/>
    </row>
    <row r="213" spans="11:11" ht="14.25" customHeight="1" x14ac:dyDescent="0.3">
      <c r="K213" s="1"/>
    </row>
    <row r="214" spans="11:11" ht="14.25" customHeight="1" x14ac:dyDescent="0.3">
      <c r="K214" s="1"/>
    </row>
    <row r="215" spans="11:11" ht="14.25" customHeight="1" x14ac:dyDescent="0.3">
      <c r="K215" s="1"/>
    </row>
    <row r="216" spans="11:11" ht="14.25" customHeight="1" x14ac:dyDescent="0.3">
      <c r="K216" s="1"/>
    </row>
    <row r="217" spans="11:11" ht="14.25" customHeight="1" x14ac:dyDescent="0.3">
      <c r="K217" s="1"/>
    </row>
    <row r="218" spans="11:11" ht="14.25" customHeight="1" x14ac:dyDescent="0.3">
      <c r="K218" s="1"/>
    </row>
    <row r="219" spans="11:11" ht="14.25" customHeight="1" x14ac:dyDescent="0.3">
      <c r="K219" s="1"/>
    </row>
    <row r="220" spans="11:11" ht="14.25" customHeight="1" x14ac:dyDescent="0.3">
      <c r="K220" s="1"/>
    </row>
    <row r="221" spans="11:11" ht="14.25" customHeight="1" x14ac:dyDescent="0.3">
      <c r="K221" s="1"/>
    </row>
    <row r="222" spans="11:11" ht="14.25" customHeight="1" x14ac:dyDescent="0.3">
      <c r="K222" s="1"/>
    </row>
    <row r="223" spans="11:11" ht="14.25" customHeight="1" x14ac:dyDescent="0.3">
      <c r="K223" s="1"/>
    </row>
    <row r="224" spans="11:11" ht="14.25" customHeight="1" x14ac:dyDescent="0.3">
      <c r="K224" s="1"/>
    </row>
    <row r="225" spans="11:11" ht="14.25" customHeight="1" x14ac:dyDescent="0.3">
      <c r="K225" s="1"/>
    </row>
    <row r="226" spans="11:11" ht="14.25" customHeight="1" x14ac:dyDescent="0.3">
      <c r="K226" s="1"/>
    </row>
    <row r="227" spans="11:11" ht="14.25" customHeight="1" x14ac:dyDescent="0.3">
      <c r="K227" s="1"/>
    </row>
    <row r="228" spans="11:11" ht="14.25" customHeight="1" x14ac:dyDescent="0.3">
      <c r="K228" s="1"/>
    </row>
    <row r="229" spans="11:11" ht="14.25" customHeight="1" x14ac:dyDescent="0.3">
      <c r="K229" s="1"/>
    </row>
    <row r="230" spans="11:11" ht="14.25" customHeight="1" x14ac:dyDescent="0.3">
      <c r="K230" s="1"/>
    </row>
    <row r="231" spans="11:11" ht="14.25" customHeight="1" x14ac:dyDescent="0.3">
      <c r="K231" s="1"/>
    </row>
    <row r="232" spans="11:11" ht="14.25" customHeight="1" x14ac:dyDescent="0.3">
      <c r="K232" s="1"/>
    </row>
    <row r="233" spans="11:11" ht="14.25" customHeight="1" x14ac:dyDescent="0.3">
      <c r="K233" s="1"/>
    </row>
    <row r="234" spans="11:11" ht="14.25" customHeight="1" x14ac:dyDescent="0.3">
      <c r="K234" s="1"/>
    </row>
    <row r="235" spans="11:11" ht="14.25" customHeight="1" x14ac:dyDescent="0.3">
      <c r="K235" s="1"/>
    </row>
    <row r="236" spans="11:11" ht="14.25" customHeight="1" x14ac:dyDescent="0.3">
      <c r="K236" s="1"/>
    </row>
    <row r="237" spans="11:11" ht="14.25" customHeight="1" x14ac:dyDescent="0.3">
      <c r="K237" s="1"/>
    </row>
    <row r="238" spans="11:11" ht="14.25" customHeight="1" x14ac:dyDescent="0.3">
      <c r="K238" s="1"/>
    </row>
    <row r="239" spans="11:11" ht="14.25" customHeight="1" x14ac:dyDescent="0.3">
      <c r="K239" s="1"/>
    </row>
    <row r="240" spans="11:11" ht="14.25" customHeight="1" x14ac:dyDescent="0.3">
      <c r="K240" s="1"/>
    </row>
    <row r="241" spans="11:11" ht="14.25" customHeight="1" x14ac:dyDescent="0.3">
      <c r="K241" s="1"/>
    </row>
    <row r="242" spans="11:11" ht="14.25" customHeight="1" x14ac:dyDescent="0.3">
      <c r="K242" s="1"/>
    </row>
    <row r="243" spans="11:11" ht="14.25" customHeight="1" x14ac:dyDescent="0.3">
      <c r="K243" s="1"/>
    </row>
    <row r="244" spans="11:11" ht="14.25" customHeight="1" x14ac:dyDescent="0.3">
      <c r="K244" s="1"/>
    </row>
    <row r="245" spans="11:11" ht="14.25" customHeight="1" x14ac:dyDescent="0.3">
      <c r="K245" s="1"/>
    </row>
    <row r="246" spans="11:11" ht="14.25" customHeight="1" x14ac:dyDescent="0.3">
      <c r="K246" s="1"/>
    </row>
    <row r="247" spans="11:11" ht="14.25" customHeight="1" x14ac:dyDescent="0.3">
      <c r="K247" s="1"/>
    </row>
    <row r="248" spans="11:11" ht="14.25" customHeight="1" x14ac:dyDescent="0.3">
      <c r="K248" s="1"/>
    </row>
    <row r="249" spans="11:11" ht="14.25" customHeight="1" x14ac:dyDescent="0.3">
      <c r="K249" s="1"/>
    </row>
    <row r="250" spans="11:11" ht="14.25" customHeight="1" x14ac:dyDescent="0.3">
      <c r="K250" s="1"/>
    </row>
    <row r="251" spans="11:11" ht="14.25" customHeight="1" x14ac:dyDescent="0.3">
      <c r="K251" s="1"/>
    </row>
    <row r="252" spans="11:11" ht="14.25" customHeight="1" x14ac:dyDescent="0.3">
      <c r="K252" s="1"/>
    </row>
    <row r="253" spans="11:11" ht="14.25" customHeight="1" x14ac:dyDescent="0.3">
      <c r="K253" s="1"/>
    </row>
    <row r="254" spans="11:11" ht="14.25" customHeight="1" x14ac:dyDescent="0.3">
      <c r="K254" s="1"/>
    </row>
    <row r="255" spans="11:11" ht="14.25" customHeight="1" x14ac:dyDescent="0.3">
      <c r="K255" s="1"/>
    </row>
    <row r="256" spans="11:11" ht="14.25" customHeight="1" x14ac:dyDescent="0.3">
      <c r="K256" s="1"/>
    </row>
    <row r="257" spans="11:11" ht="14.25" customHeight="1" x14ac:dyDescent="0.3">
      <c r="K257" s="1"/>
    </row>
    <row r="258" spans="11:11" ht="14.25" customHeight="1" x14ac:dyDescent="0.3">
      <c r="K258" s="1"/>
    </row>
    <row r="259" spans="11:11" ht="14.25" customHeight="1" x14ac:dyDescent="0.3">
      <c r="K259" s="1"/>
    </row>
    <row r="260" spans="11:11" ht="14.25" customHeight="1" x14ac:dyDescent="0.3">
      <c r="K260" s="1"/>
    </row>
    <row r="261" spans="11:11" ht="14.25" customHeight="1" x14ac:dyDescent="0.3">
      <c r="K261" s="1"/>
    </row>
    <row r="262" spans="11:11" ht="14.25" customHeight="1" x14ac:dyDescent="0.3">
      <c r="K262" s="1"/>
    </row>
    <row r="263" spans="11:11" ht="14.25" customHeight="1" x14ac:dyDescent="0.3">
      <c r="K263" s="1"/>
    </row>
    <row r="264" spans="11:11" ht="14.25" customHeight="1" x14ac:dyDescent="0.3">
      <c r="K264" s="1"/>
    </row>
    <row r="265" spans="11:11" ht="14.25" customHeight="1" x14ac:dyDescent="0.3">
      <c r="K265" s="1"/>
    </row>
    <row r="266" spans="11:11" ht="14.25" customHeight="1" x14ac:dyDescent="0.3">
      <c r="K266" s="1"/>
    </row>
    <row r="267" spans="11:11" ht="14.25" customHeight="1" x14ac:dyDescent="0.3">
      <c r="K267" s="1"/>
    </row>
    <row r="268" spans="11:11" ht="14.25" customHeight="1" x14ac:dyDescent="0.3">
      <c r="K268" s="1"/>
    </row>
    <row r="269" spans="11:11" ht="14.25" customHeight="1" x14ac:dyDescent="0.3">
      <c r="K269" s="1"/>
    </row>
    <row r="270" spans="11:11" ht="14.25" customHeight="1" x14ac:dyDescent="0.3">
      <c r="K270" s="1"/>
    </row>
    <row r="271" spans="11:11" ht="14.25" customHeight="1" x14ac:dyDescent="0.3">
      <c r="K271" s="1"/>
    </row>
    <row r="272" spans="11:11" ht="14.25" customHeight="1" x14ac:dyDescent="0.3">
      <c r="K272" s="1"/>
    </row>
    <row r="273" spans="11:11" ht="14.25" customHeight="1" x14ac:dyDescent="0.3">
      <c r="K273" s="1"/>
    </row>
    <row r="274" spans="11:11" ht="14.25" customHeight="1" x14ac:dyDescent="0.3">
      <c r="K274" s="1"/>
    </row>
    <row r="275" spans="11:11" ht="14.25" customHeight="1" x14ac:dyDescent="0.3">
      <c r="K275" s="1"/>
    </row>
    <row r="276" spans="11:11" ht="14.25" customHeight="1" x14ac:dyDescent="0.3">
      <c r="K276" s="1"/>
    </row>
    <row r="277" spans="11:11" ht="14.25" customHeight="1" x14ac:dyDescent="0.3">
      <c r="K277" s="1"/>
    </row>
    <row r="278" spans="11:11" ht="14.25" customHeight="1" x14ac:dyDescent="0.3">
      <c r="K278" s="1"/>
    </row>
    <row r="279" spans="11:11" ht="14.25" customHeight="1" x14ac:dyDescent="0.3">
      <c r="K279" s="1"/>
    </row>
    <row r="280" spans="11:11" ht="14.25" customHeight="1" x14ac:dyDescent="0.3">
      <c r="K280" s="1"/>
    </row>
    <row r="281" spans="11:11" ht="14.25" customHeight="1" x14ac:dyDescent="0.3">
      <c r="K281" s="1"/>
    </row>
    <row r="282" spans="11:11" ht="14.25" customHeight="1" x14ac:dyDescent="0.3">
      <c r="K282" s="1"/>
    </row>
    <row r="283" spans="11:11" ht="14.25" customHeight="1" x14ac:dyDescent="0.3">
      <c r="K283" s="1"/>
    </row>
    <row r="284" spans="11:11" ht="14.25" customHeight="1" x14ac:dyDescent="0.3">
      <c r="K284" s="1"/>
    </row>
    <row r="285" spans="11:11" ht="14.25" customHeight="1" x14ac:dyDescent="0.3">
      <c r="K285" s="1"/>
    </row>
    <row r="286" spans="11:11" ht="14.25" customHeight="1" x14ac:dyDescent="0.3">
      <c r="K286" s="1"/>
    </row>
    <row r="287" spans="11:11" ht="14.25" customHeight="1" x14ac:dyDescent="0.3">
      <c r="K287" s="1"/>
    </row>
    <row r="288" spans="11:11" ht="14.25" customHeight="1" x14ac:dyDescent="0.3">
      <c r="K288" s="1"/>
    </row>
    <row r="289" spans="11:11" ht="14.25" customHeight="1" x14ac:dyDescent="0.3">
      <c r="K289" s="1"/>
    </row>
    <row r="290" spans="11:11" ht="14.25" customHeight="1" x14ac:dyDescent="0.3">
      <c r="K290" s="1"/>
    </row>
    <row r="291" spans="11:11" ht="14.25" customHeight="1" x14ac:dyDescent="0.3">
      <c r="K291" s="1"/>
    </row>
    <row r="292" spans="11:11" ht="14.25" customHeight="1" x14ac:dyDescent="0.3">
      <c r="K292" s="1"/>
    </row>
    <row r="293" spans="11:11" ht="14.25" customHeight="1" x14ac:dyDescent="0.3">
      <c r="K293" s="1"/>
    </row>
    <row r="294" spans="11:11" ht="14.25" customHeight="1" x14ac:dyDescent="0.3">
      <c r="K294" s="1"/>
    </row>
    <row r="295" spans="11:11" ht="14.25" customHeight="1" x14ac:dyDescent="0.3">
      <c r="K295" s="1"/>
    </row>
    <row r="296" spans="11:11" ht="14.25" customHeight="1" x14ac:dyDescent="0.3">
      <c r="K296" s="1"/>
    </row>
    <row r="297" spans="11:11" ht="14.25" customHeight="1" x14ac:dyDescent="0.3">
      <c r="K297" s="1"/>
    </row>
    <row r="298" spans="11:11" ht="14.25" customHeight="1" x14ac:dyDescent="0.3">
      <c r="K298" s="1"/>
    </row>
    <row r="299" spans="11:11" ht="14.25" customHeight="1" x14ac:dyDescent="0.3">
      <c r="K299" s="1"/>
    </row>
    <row r="300" spans="11:11" ht="14.25" customHeight="1" x14ac:dyDescent="0.3">
      <c r="K300" s="1"/>
    </row>
    <row r="301" spans="11:11" ht="14.25" customHeight="1" x14ac:dyDescent="0.3">
      <c r="K301" s="1"/>
    </row>
    <row r="302" spans="11:11" ht="14.25" customHeight="1" x14ac:dyDescent="0.3">
      <c r="K302" s="1"/>
    </row>
    <row r="303" spans="11:11" ht="14.25" customHeight="1" x14ac:dyDescent="0.3">
      <c r="K303" s="1"/>
    </row>
    <row r="304" spans="11:11" ht="14.25" customHeight="1" x14ac:dyDescent="0.3">
      <c r="K304" s="1"/>
    </row>
    <row r="305" spans="11:11" ht="14.25" customHeight="1" x14ac:dyDescent="0.3">
      <c r="K305" s="1"/>
    </row>
    <row r="306" spans="11:11" ht="14.25" customHeight="1" x14ac:dyDescent="0.3">
      <c r="K306" s="1"/>
    </row>
    <row r="307" spans="11:11" ht="14.25" customHeight="1" x14ac:dyDescent="0.3">
      <c r="K307" s="1"/>
    </row>
    <row r="308" spans="11:11" ht="14.25" customHeight="1" x14ac:dyDescent="0.3">
      <c r="K308" s="1"/>
    </row>
    <row r="309" spans="11:11" ht="14.25" customHeight="1" x14ac:dyDescent="0.3">
      <c r="K309" s="1"/>
    </row>
    <row r="310" spans="11:11" ht="14.25" customHeight="1" x14ac:dyDescent="0.3">
      <c r="K310" s="1"/>
    </row>
    <row r="311" spans="11:11" ht="14.25" customHeight="1" x14ac:dyDescent="0.3">
      <c r="K311" s="1"/>
    </row>
    <row r="312" spans="11:11" ht="14.25" customHeight="1" x14ac:dyDescent="0.3">
      <c r="K312" s="1"/>
    </row>
    <row r="313" spans="11:11" ht="14.25" customHeight="1" x14ac:dyDescent="0.3">
      <c r="K313" s="1"/>
    </row>
    <row r="314" spans="11:11" ht="14.25" customHeight="1" x14ac:dyDescent="0.3">
      <c r="K314" s="1"/>
    </row>
    <row r="315" spans="11:11" ht="14.25" customHeight="1" x14ac:dyDescent="0.3">
      <c r="K315" s="1"/>
    </row>
    <row r="316" spans="11:11" ht="14.25" customHeight="1" x14ac:dyDescent="0.3">
      <c r="K316" s="1"/>
    </row>
    <row r="317" spans="11:11" ht="14.25" customHeight="1" x14ac:dyDescent="0.3">
      <c r="K317" s="1"/>
    </row>
    <row r="318" spans="11:11" ht="14.25" customHeight="1" x14ac:dyDescent="0.3">
      <c r="K318" s="1"/>
    </row>
    <row r="319" spans="11:11" ht="14.25" customHeight="1" x14ac:dyDescent="0.3">
      <c r="K319" s="1"/>
    </row>
    <row r="320" spans="11:11" ht="14.25" customHeight="1" x14ac:dyDescent="0.3">
      <c r="K320" s="1"/>
    </row>
    <row r="321" spans="11:11" ht="14.25" customHeight="1" x14ac:dyDescent="0.3">
      <c r="K321" s="1"/>
    </row>
    <row r="322" spans="11:11" ht="14.25" customHeight="1" x14ac:dyDescent="0.3">
      <c r="K322" s="1"/>
    </row>
    <row r="323" spans="11:11" ht="14.25" customHeight="1" x14ac:dyDescent="0.3">
      <c r="K323" s="1"/>
    </row>
    <row r="324" spans="11:11" ht="14.25" customHeight="1" x14ac:dyDescent="0.3">
      <c r="K324" s="1"/>
    </row>
    <row r="325" spans="11:11" ht="14.25" customHeight="1" x14ac:dyDescent="0.3">
      <c r="K325" s="1"/>
    </row>
    <row r="326" spans="11:11" ht="14.25" customHeight="1" x14ac:dyDescent="0.3">
      <c r="K326" s="1"/>
    </row>
    <row r="327" spans="11:11" ht="14.25" customHeight="1" x14ac:dyDescent="0.3">
      <c r="K327" s="1"/>
    </row>
    <row r="328" spans="11:11" ht="14.25" customHeight="1" x14ac:dyDescent="0.3">
      <c r="K328" s="1"/>
    </row>
    <row r="329" spans="11:11" ht="14.25" customHeight="1" x14ac:dyDescent="0.3">
      <c r="K329" s="1"/>
    </row>
    <row r="330" spans="11:11" ht="14.25" customHeight="1" x14ac:dyDescent="0.3">
      <c r="K330" s="1"/>
    </row>
    <row r="331" spans="11:11" ht="14.25" customHeight="1" x14ac:dyDescent="0.3">
      <c r="K331" s="1"/>
    </row>
    <row r="332" spans="11:11" ht="14.25" customHeight="1" x14ac:dyDescent="0.3">
      <c r="K332" s="1"/>
    </row>
    <row r="333" spans="11:11" ht="14.25" customHeight="1" x14ac:dyDescent="0.3">
      <c r="K333" s="1"/>
    </row>
    <row r="334" spans="11:11" ht="14.25" customHeight="1" x14ac:dyDescent="0.3">
      <c r="K334" s="1"/>
    </row>
    <row r="335" spans="11:11" ht="14.25" customHeight="1" x14ac:dyDescent="0.3">
      <c r="K335" s="1"/>
    </row>
    <row r="336" spans="11:11" ht="14.25" customHeight="1" x14ac:dyDescent="0.3">
      <c r="K336" s="1"/>
    </row>
    <row r="337" spans="11:11" ht="14.25" customHeight="1" x14ac:dyDescent="0.3">
      <c r="K337" s="1"/>
    </row>
    <row r="338" spans="11:11" ht="14.25" customHeight="1" x14ac:dyDescent="0.3">
      <c r="K338" s="1"/>
    </row>
    <row r="339" spans="11:11" ht="14.25" customHeight="1" x14ac:dyDescent="0.3">
      <c r="K339" s="1"/>
    </row>
    <row r="340" spans="11:11" ht="14.25" customHeight="1" x14ac:dyDescent="0.3">
      <c r="K340" s="1"/>
    </row>
    <row r="341" spans="11:11" ht="14.25" customHeight="1" x14ac:dyDescent="0.3">
      <c r="K341" s="1"/>
    </row>
    <row r="342" spans="11:11" ht="14.25" customHeight="1" x14ac:dyDescent="0.3">
      <c r="K342" s="1"/>
    </row>
    <row r="343" spans="11:11" ht="14.25" customHeight="1" x14ac:dyDescent="0.3">
      <c r="K343" s="1"/>
    </row>
    <row r="344" spans="11:11" ht="14.25" customHeight="1" x14ac:dyDescent="0.3">
      <c r="K344" s="1"/>
    </row>
    <row r="345" spans="11:11" ht="14.25" customHeight="1" x14ac:dyDescent="0.3">
      <c r="K345" s="1"/>
    </row>
    <row r="346" spans="11:11" ht="14.25" customHeight="1" x14ac:dyDescent="0.3">
      <c r="K346" s="1"/>
    </row>
    <row r="347" spans="11:11" ht="14.25" customHeight="1" x14ac:dyDescent="0.3">
      <c r="K347" s="1"/>
    </row>
    <row r="348" spans="11:11" ht="14.25" customHeight="1" x14ac:dyDescent="0.3">
      <c r="K348" s="1"/>
    </row>
    <row r="349" spans="11:11" ht="14.25" customHeight="1" x14ac:dyDescent="0.3">
      <c r="K349" s="1"/>
    </row>
    <row r="350" spans="11:11" ht="14.25" customHeight="1" x14ac:dyDescent="0.3">
      <c r="K350" s="1"/>
    </row>
    <row r="351" spans="11:11" ht="14.25" customHeight="1" x14ac:dyDescent="0.3">
      <c r="K351" s="1"/>
    </row>
    <row r="352" spans="11:11" ht="14.25" customHeight="1" x14ac:dyDescent="0.3">
      <c r="K352" s="1"/>
    </row>
    <row r="353" spans="11:11" ht="14.25" customHeight="1" x14ac:dyDescent="0.3">
      <c r="K353" s="1"/>
    </row>
    <row r="354" spans="11:11" ht="14.25" customHeight="1" x14ac:dyDescent="0.3">
      <c r="K354" s="1"/>
    </row>
    <row r="355" spans="11:11" ht="14.25" customHeight="1" x14ac:dyDescent="0.3">
      <c r="K355" s="1"/>
    </row>
    <row r="356" spans="11:11" ht="14.25" customHeight="1" x14ac:dyDescent="0.3">
      <c r="K356" s="1"/>
    </row>
    <row r="357" spans="11:11" ht="14.25" customHeight="1" x14ac:dyDescent="0.3">
      <c r="K357" s="1"/>
    </row>
    <row r="358" spans="11:11" ht="14.25" customHeight="1" x14ac:dyDescent="0.3">
      <c r="K358" s="1"/>
    </row>
    <row r="359" spans="11:11" ht="14.25" customHeight="1" x14ac:dyDescent="0.3">
      <c r="K359" s="1"/>
    </row>
    <row r="360" spans="11:11" ht="14.25" customHeight="1" x14ac:dyDescent="0.3">
      <c r="K360" s="1"/>
    </row>
    <row r="361" spans="11:11" ht="14.25" customHeight="1" x14ac:dyDescent="0.3">
      <c r="K361" s="1"/>
    </row>
    <row r="362" spans="11:11" ht="14.25" customHeight="1" x14ac:dyDescent="0.3">
      <c r="K362" s="1"/>
    </row>
    <row r="363" spans="11:11" ht="14.25" customHeight="1" x14ac:dyDescent="0.3">
      <c r="K363" s="1"/>
    </row>
    <row r="364" spans="11:11" ht="14.25" customHeight="1" x14ac:dyDescent="0.3">
      <c r="K364" s="1"/>
    </row>
    <row r="365" spans="11:11" ht="14.25" customHeight="1" x14ac:dyDescent="0.3">
      <c r="K365" s="1"/>
    </row>
    <row r="366" spans="11:11" ht="14.25" customHeight="1" x14ac:dyDescent="0.3">
      <c r="K366" s="1"/>
    </row>
    <row r="367" spans="11:11" ht="14.25" customHeight="1" x14ac:dyDescent="0.3">
      <c r="K367" s="1"/>
    </row>
    <row r="368" spans="11:11" ht="14.25" customHeight="1" x14ac:dyDescent="0.3">
      <c r="K368" s="1"/>
    </row>
    <row r="369" spans="11:11" ht="14.25" customHeight="1" x14ac:dyDescent="0.3">
      <c r="K369" s="1"/>
    </row>
    <row r="370" spans="11:11" ht="14.25" customHeight="1" x14ac:dyDescent="0.3">
      <c r="K370" s="1"/>
    </row>
    <row r="371" spans="11:11" ht="14.25" customHeight="1" x14ac:dyDescent="0.3">
      <c r="K371" s="1"/>
    </row>
    <row r="372" spans="11:11" ht="14.25" customHeight="1" x14ac:dyDescent="0.3">
      <c r="K372" s="1"/>
    </row>
    <row r="373" spans="11:11" ht="14.25" customHeight="1" x14ac:dyDescent="0.3">
      <c r="K373" s="1"/>
    </row>
    <row r="374" spans="11:11" ht="14.25" customHeight="1" x14ac:dyDescent="0.3">
      <c r="K374" s="1"/>
    </row>
    <row r="375" spans="11:11" ht="14.25" customHeight="1" x14ac:dyDescent="0.3">
      <c r="K375" s="1"/>
    </row>
    <row r="376" spans="11:11" ht="14.25" customHeight="1" x14ac:dyDescent="0.3">
      <c r="K376" s="1"/>
    </row>
    <row r="377" spans="11:11" ht="14.25" customHeight="1" x14ac:dyDescent="0.3">
      <c r="K377" s="1"/>
    </row>
    <row r="378" spans="11:11" ht="14.25" customHeight="1" x14ac:dyDescent="0.3">
      <c r="K378" s="1"/>
    </row>
    <row r="379" spans="11:11" ht="14.25" customHeight="1" x14ac:dyDescent="0.3">
      <c r="K379" s="1"/>
    </row>
    <row r="380" spans="11:11" ht="14.25" customHeight="1" x14ac:dyDescent="0.3">
      <c r="K380" s="1"/>
    </row>
    <row r="381" spans="11:11" ht="14.25" customHeight="1" x14ac:dyDescent="0.3">
      <c r="K381" s="1"/>
    </row>
    <row r="382" spans="11:11" ht="14.25" customHeight="1" x14ac:dyDescent="0.3">
      <c r="K382" s="1"/>
    </row>
    <row r="383" spans="11:11" ht="14.25" customHeight="1" x14ac:dyDescent="0.3">
      <c r="K383" s="1"/>
    </row>
    <row r="384" spans="11:11" ht="14.25" customHeight="1" x14ac:dyDescent="0.3">
      <c r="K384" s="1"/>
    </row>
    <row r="385" spans="11:11" ht="14.25" customHeight="1" x14ac:dyDescent="0.3">
      <c r="K385" s="1"/>
    </row>
    <row r="386" spans="11:11" ht="14.25" customHeight="1" x14ac:dyDescent="0.3">
      <c r="K386" s="1"/>
    </row>
    <row r="387" spans="11:11" ht="14.25" customHeight="1" x14ac:dyDescent="0.3">
      <c r="K387" s="1"/>
    </row>
    <row r="388" spans="11:11" ht="14.25" customHeight="1" x14ac:dyDescent="0.3">
      <c r="K388" s="1"/>
    </row>
    <row r="389" spans="11:11" ht="14.25" customHeight="1" x14ac:dyDescent="0.3">
      <c r="K389" s="1"/>
    </row>
    <row r="390" spans="11:11" ht="14.25" customHeight="1" x14ac:dyDescent="0.3">
      <c r="K390" s="1"/>
    </row>
    <row r="391" spans="11:11" ht="14.25" customHeight="1" x14ac:dyDescent="0.3">
      <c r="K391" s="1"/>
    </row>
    <row r="392" spans="11:11" ht="14.25" customHeight="1" x14ac:dyDescent="0.3">
      <c r="K392" s="1"/>
    </row>
    <row r="393" spans="11:11" ht="14.25" customHeight="1" x14ac:dyDescent="0.3">
      <c r="K393" s="1"/>
    </row>
    <row r="394" spans="11:11" ht="14.25" customHeight="1" x14ac:dyDescent="0.3">
      <c r="K394" s="1"/>
    </row>
    <row r="395" spans="11:11" ht="14.25" customHeight="1" x14ac:dyDescent="0.3">
      <c r="K395" s="1"/>
    </row>
    <row r="396" spans="11:11" ht="14.25" customHeight="1" x14ac:dyDescent="0.3">
      <c r="K396" s="1"/>
    </row>
    <row r="397" spans="11:11" ht="14.25" customHeight="1" x14ac:dyDescent="0.3">
      <c r="K397" s="1"/>
    </row>
    <row r="398" spans="11:11" ht="14.25" customHeight="1" x14ac:dyDescent="0.3">
      <c r="K398" s="1"/>
    </row>
    <row r="399" spans="11:11" ht="14.25" customHeight="1" x14ac:dyDescent="0.3">
      <c r="K399" s="1"/>
    </row>
    <row r="400" spans="11:11" ht="14.25" customHeight="1" x14ac:dyDescent="0.3">
      <c r="K400" s="1"/>
    </row>
    <row r="401" spans="11:11" ht="14.25" customHeight="1" x14ac:dyDescent="0.3">
      <c r="K401" s="1"/>
    </row>
    <row r="402" spans="11:11" ht="14.25" customHeight="1" x14ac:dyDescent="0.3">
      <c r="K402" s="1"/>
    </row>
    <row r="403" spans="11:11" ht="14.25" customHeight="1" x14ac:dyDescent="0.3">
      <c r="K403" s="1"/>
    </row>
    <row r="404" spans="11:11" ht="14.25" customHeight="1" x14ac:dyDescent="0.3">
      <c r="K404" s="1"/>
    </row>
    <row r="405" spans="11:11" ht="14.25" customHeight="1" x14ac:dyDescent="0.3">
      <c r="K405" s="1"/>
    </row>
    <row r="406" spans="11:11" ht="14.25" customHeight="1" x14ac:dyDescent="0.3">
      <c r="K406" s="1"/>
    </row>
    <row r="407" spans="11:11" ht="14.25" customHeight="1" x14ac:dyDescent="0.3">
      <c r="K407" s="1"/>
    </row>
    <row r="408" spans="11:11" ht="14.25" customHeight="1" x14ac:dyDescent="0.3">
      <c r="K408" s="1"/>
    </row>
    <row r="409" spans="11:11" ht="14.25" customHeight="1" x14ac:dyDescent="0.3">
      <c r="K409" s="1"/>
    </row>
    <row r="410" spans="11:11" ht="14.25" customHeight="1" x14ac:dyDescent="0.3">
      <c r="K410" s="1"/>
    </row>
    <row r="411" spans="11:11" ht="14.25" customHeight="1" x14ac:dyDescent="0.3">
      <c r="K411" s="1"/>
    </row>
    <row r="412" spans="11:11" ht="14.25" customHeight="1" x14ac:dyDescent="0.3">
      <c r="K412" s="1"/>
    </row>
    <row r="413" spans="11:11" ht="14.25" customHeight="1" x14ac:dyDescent="0.3">
      <c r="K413" s="1"/>
    </row>
    <row r="414" spans="11:11" ht="14.25" customHeight="1" x14ac:dyDescent="0.3">
      <c r="K414" s="1"/>
    </row>
    <row r="415" spans="11:11" ht="14.25" customHeight="1" x14ac:dyDescent="0.3">
      <c r="K415" s="1"/>
    </row>
    <row r="416" spans="11:11" ht="14.25" customHeight="1" x14ac:dyDescent="0.3">
      <c r="K416" s="1"/>
    </row>
    <row r="417" spans="11:11" ht="14.25" customHeight="1" x14ac:dyDescent="0.3">
      <c r="K417" s="1"/>
    </row>
    <row r="418" spans="11:11" ht="14.25" customHeight="1" x14ac:dyDescent="0.3">
      <c r="K418" s="1"/>
    </row>
    <row r="419" spans="11:11" ht="14.25" customHeight="1" x14ac:dyDescent="0.3">
      <c r="K419" s="1"/>
    </row>
    <row r="420" spans="11:11" ht="14.25" customHeight="1" x14ac:dyDescent="0.3">
      <c r="K420" s="1"/>
    </row>
    <row r="421" spans="11:11" ht="14.25" customHeight="1" x14ac:dyDescent="0.3">
      <c r="K421" s="1"/>
    </row>
    <row r="422" spans="11:11" ht="14.25" customHeight="1" x14ac:dyDescent="0.3">
      <c r="K422" s="1"/>
    </row>
    <row r="423" spans="11:11" ht="14.25" customHeight="1" x14ac:dyDescent="0.3">
      <c r="K423" s="1"/>
    </row>
    <row r="424" spans="11:11" ht="14.25" customHeight="1" x14ac:dyDescent="0.3">
      <c r="K424" s="1"/>
    </row>
    <row r="425" spans="11:11" ht="14.25" customHeight="1" x14ac:dyDescent="0.3">
      <c r="K425" s="1"/>
    </row>
    <row r="426" spans="11:11" ht="14.25" customHeight="1" x14ac:dyDescent="0.3">
      <c r="K426" s="1"/>
    </row>
    <row r="427" spans="11:11" ht="14.25" customHeight="1" x14ac:dyDescent="0.3">
      <c r="K427" s="1"/>
    </row>
    <row r="428" spans="11:11" ht="14.25" customHeight="1" x14ac:dyDescent="0.3">
      <c r="K428" s="1"/>
    </row>
    <row r="429" spans="11:11" ht="14.25" customHeight="1" x14ac:dyDescent="0.3">
      <c r="K429" s="1"/>
    </row>
    <row r="430" spans="11:11" ht="14.25" customHeight="1" x14ac:dyDescent="0.3">
      <c r="K430" s="1"/>
    </row>
    <row r="431" spans="11:11" ht="14.25" customHeight="1" x14ac:dyDescent="0.3">
      <c r="K431" s="1"/>
    </row>
    <row r="432" spans="11:11" ht="14.25" customHeight="1" x14ac:dyDescent="0.3">
      <c r="K432" s="1"/>
    </row>
    <row r="433" spans="11:11" ht="14.25" customHeight="1" x14ac:dyDescent="0.3">
      <c r="K433" s="1"/>
    </row>
    <row r="434" spans="11:11" ht="14.25" customHeight="1" x14ac:dyDescent="0.3">
      <c r="K434" s="1"/>
    </row>
    <row r="435" spans="11:11" ht="14.25" customHeight="1" x14ac:dyDescent="0.3">
      <c r="K435" s="1"/>
    </row>
    <row r="436" spans="11:11" ht="14.25" customHeight="1" x14ac:dyDescent="0.3">
      <c r="K436" s="1"/>
    </row>
    <row r="437" spans="11:11" ht="14.25" customHeight="1" x14ac:dyDescent="0.3">
      <c r="K437" s="1"/>
    </row>
    <row r="438" spans="11:11" ht="14.25" customHeight="1" x14ac:dyDescent="0.3">
      <c r="K438" s="1"/>
    </row>
    <row r="439" spans="11:11" ht="14.25" customHeight="1" x14ac:dyDescent="0.3">
      <c r="K439" s="1"/>
    </row>
    <row r="440" spans="11:11" ht="14.25" customHeight="1" x14ac:dyDescent="0.3">
      <c r="K440" s="1"/>
    </row>
    <row r="441" spans="11:11" ht="14.25" customHeight="1" x14ac:dyDescent="0.3">
      <c r="K441" s="1"/>
    </row>
    <row r="442" spans="11:11" ht="14.25" customHeight="1" x14ac:dyDescent="0.3">
      <c r="K442" s="1"/>
    </row>
    <row r="443" spans="11:11" ht="14.25" customHeight="1" x14ac:dyDescent="0.3">
      <c r="K443" s="1"/>
    </row>
    <row r="444" spans="11:11" ht="14.25" customHeight="1" x14ac:dyDescent="0.3">
      <c r="K444" s="1"/>
    </row>
    <row r="445" spans="11:11" ht="14.25" customHeight="1" x14ac:dyDescent="0.3">
      <c r="K445" s="1"/>
    </row>
    <row r="446" spans="11:11" ht="14.25" customHeight="1" x14ac:dyDescent="0.3">
      <c r="K446" s="1"/>
    </row>
    <row r="447" spans="11:11" ht="14.25" customHeight="1" x14ac:dyDescent="0.3">
      <c r="K447" s="1"/>
    </row>
    <row r="448" spans="11:11" ht="14.25" customHeight="1" x14ac:dyDescent="0.3">
      <c r="K448" s="1"/>
    </row>
    <row r="449" spans="11:11" ht="14.25" customHeight="1" x14ac:dyDescent="0.3">
      <c r="K449" s="1"/>
    </row>
    <row r="450" spans="11:11" ht="14.25" customHeight="1" x14ac:dyDescent="0.3">
      <c r="K450" s="1"/>
    </row>
    <row r="451" spans="11:11" ht="14.25" customHeight="1" x14ac:dyDescent="0.3">
      <c r="K451" s="1"/>
    </row>
    <row r="452" spans="11:11" ht="14.25" customHeight="1" x14ac:dyDescent="0.3">
      <c r="K452" s="1"/>
    </row>
    <row r="453" spans="11:11" ht="14.25" customHeight="1" x14ac:dyDescent="0.3">
      <c r="K453" s="1"/>
    </row>
    <row r="454" spans="11:11" ht="14.25" customHeight="1" x14ac:dyDescent="0.3">
      <c r="K454" s="1"/>
    </row>
    <row r="455" spans="11:11" ht="14.25" customHeight="1" x14ac:dyDescent="0.3">
      <c r="K455" s="1"/>
    </row>
    <row r="456" spans="11:11" ht="14.25" customHeight="1" x14ac:dyDescent="0.3">
      <c r="K456" s="1"/>
    </row>
    <row r="457" spans="11:11" ht="14.25" customHeight="1" x14ac:dyDescent="0.3">
      <c r="K457" s="1"/>
    </row>
    <row r="458" spans="11:11" ht="14.25" customHeight="1" x14ac:dyDescent="0.3">
      <c r="K458" s="1"/>
    </row>
    <row r="459" spans="11:11" ht="14.25" customHeight="1" x14ac:dyDescent="0.3">
      <c r="K459" s="1"/>
    </row>
    <row r="460" spans="11:11" ht="14.25" customHeight="1" x14ac:dyDescent="0.3">
      <c r="K460" s="1"/>
    </row>
    <row r="461" spans="11:11" ht="14.25" customHeight="1" x14ac:dyDescent="0.3">
      <c r="K461" s="1"/>
    </row>
    <row r="462" spans="11:11" ht="14.25" customHeight="1" x14ac:dyDescent="0.3">
      <c r="K462" s="1"/>
    </row>
    <row r="463" spans="11:11" ht="14.25" customHeight="1" x14ac:dyDescent="0.3">
      <c r="K463" s="1"/>
    </row>
    <row r="464" spans="11:11" ht="14.25" customHeight="1" x14ac:dyDescent="0.3">
      <c r="K464" s="1"/>
    </row>
    <row r="465" spans="11:11" ht="14.25" customHeight="1" x14ac:dyDescent="0.3">
      <c r="K465" s="1"/>
    </row>
    <row r="466" spans="11:11" ht="14.25" customHeight="1" x14ac:dyDescent="0.3">
      <c r="K466" s="1"/>
    </row>
    <row r="467" spans="11:11" ht="14.25" customHeight="1" x14ac:dyDescent="0.3">
      <c r="K467" s="1"/>
    </row>
    <row r="468" spans="11:11" ht="14.25" customHeight="1" x14ac:dyDescent="0.3">
      <c r="K468" s="1"/>
    </row>
    <row r="469" spans="11:11" ht="14.25" customHeight="1" x14ac:dyDescent="0.3">
      <c r="K469" s="1"/>
    </row>
    <row r="470" spans="11:11" ht="14.25" customHeight="1" x14ac:dyDescent="0.3">
      <c r="K470" s="1"/>
    </row>
    <row r="471" spans="11:11" ht="14.25" customHeight="1" x14ac:dyDescent="0.3">
      <c r="K471" s="1"/>
    </row>
    <row r="472" spans="11:11" ht="14.25" customHeight="1" x14ac:dyDescent="0.3">
      <c r="K472" s="1"/>
    </row>
    <row r="473" spans="11:11" ht="14.25" customHeight="1" x14ac:dyDescent="0.3">
      <c r="K473" s="1"/>
    </row>
    <row r="474" spans="11:11" ht="14.25" customHeight="1" x14ac:dyDescent="0.3">
      <c r="K474" s="1"/>
    </row>
    <row r="475" spans="11:11" ht="14.25" customHeight="1" x14ac:dyDescent="0.3">
      <c r="K475" s="1"/>
    </row>
    <row r="476" spans="11:11" ht="14.25" customHeight="1" x14ac:dyDescent="0.3">
      <c r="K476" s="1"/>
    </row>
    <row r="477" spans="11:11" ht="14.25" customHeight="1" x14ac:dyDescent="0.3">
      <c r="K477" s="1"/>
    </row>
    <row r="478" spans="11:11" ht="14.25" customHeight="1" x14ac:dyDescent="0.3">
      <c r="K478" s="1"/>
    </row>
    <row r="479" spans="11:11" ht="14.25" customHeight="1" x14ac:dyDescent="0.3">
      <c r="K479" s="1"/>
    </row>
    <row r="480" spans="11:11" ht="14.25" customHeight="1" x14ac:dyDescent="0.3">
      <c r="K480" s="1"/>
    </row>
    <row r="481" spans="11:11" ht="14.25" customHeight="1" x14ac:dyDescent="0.3">
      <c r="K481" s="1"/>
    </row>
    <row r="482" spans="11:11" ht="14.25" customHeight="1" x14ac:dyDescent="0.3">
      <c r="K482" s="1"/>
    </row>
    <row r="483" spans="11:11" ht="14.25" customHeight="1" x14ac:dyDescent="0.3">
      <c r="K483" s="1"/>
    </row>
    <row r="484" spans="11:11" ht="14.25" customHeight="1" x14ac:dyDescent="0.3">
      <c r="K484" s="1"/>
    </row>
    <row r="485" spans="11:11" ht="14.25" customHeight="1" x14ac:dyDescent="0.3">
      <c r="K485" s="1"/>
    </row>
    <row r="486" spans="11:11" ht="14.25" customHeight="1" x14ac:dyDescent="0.3">
      <c r="K486" s="1"/>
    </row>
    <row r="487" spans="11:11" ht="14.25" customHeight="1" x14ac:dyDescent="0.3">
      <c r="K487" s="1"/>
    </row>
    <row r="488" spans="11:11" ht="14.25" customHeight="1" x14ac:dyDescent="0.3">
      <c r="K488" s="1"/>
    </row>
    <row r="489" spans="11:11" ht="14.25" customHeight="1" x14ac:dyDescent="0.3">
      <c r="K489" s="1"/>
    </row>
    <row r="490" spans="11:11" ht="14.25" customHeight="1" x14ac:dyDescent="0.3">
      <c r="K490" s="1"/>
    </row>
    <row r="491" spans="11:11" ht="14.25" customHeight="1" x14ac:dyDescent="0.3">
      <c r="K491" s="1"/>
    </row>
    <row r="492" spans="11:11" ht="14.25" customHeight="1" x14ac:dyDescent="0.3">
      <c r="K492" s="1"/>
    </row>
    <row r="493" spans="11:11" ht="14.25" customHeight="1" x14ac:dyDescent="0.3">
      <c r="K493" s="1"/>
    </row>
    <row r="494" spans="11:11" ht="14.25" customHeight="1" x14ac:dyDescent="0.3">
      <c r="K494" s="1"/>
    </row>
    <row r="495" spans="11:11" ht="14.25" customHeight="1" x14ac:dyDescent="0.3">
      <c r="K495" s="1"/>
    </row>
    <row r="496" spans="11:11" ht="14.25" customHeight="1" x14ac:dyDescent="0.3">
      <c r="K496" s="1"/>
    </row>
    <row r="497" spans="11:11" ht="14.25" customHeight="1" x14ac:dyDescent="0.3">
      <c r="K497" s="1"/>
    </row>
    <row r="498" spans="11:11" ht="14.25" customHeight="1" x14ac:dyDescent="0.3">
      <c r="K498" s="1"/>
    </row>
    <row r="499" spans="11:11" ht="14.25" customHeight="1" x14ac:dyDescent="0.3">
      <c r="K499" s="1"/>
    </row>
    <row r="500" spans="11:11" ht="14.25" customHeight="1" x14ac:dyDescent="0.3">
      <c r="K500" s="1"/>
    </row>
    <row r="501" spans="11:11" ht="14.25" customHeight="1" x14ac:dyDescent="0.3">
      <c r="K501" s="1"/>
    </row>
    <row r="502" spans="11:11" ht="14.25" customHeight="1" x14ac:dyDescent="0.3">
      <c r="K502" s="1"/>
    </row>
    <row r="503" spans="11:11" ht="14.25" customHeight="1" x14ac:dyDescent="0.3">
      <c r="K503" s="1"/>
    </row>
    <row r="504" spans="11:11" ht="14.25" customHeight="1" x14ac:dyDescent="0.3">
      <c r="K504" s="1"/>
    </row>
    <row r="505" spans="11:11" ht="14.25" customHeight="1" x14ac:dyDescent="0.3">
      <c r="K505" s="1"/>
    </row>
    <row r="506" spans="11:11" ht="14.25" customHeight="1" x14ac:dyDescent="0.3">
      <c r="K506" s="1"/>
    </row>
    <row r="507" spans="11:11" ht="14.25" customHeight="1" x14ac:dyDescent="0.3">
      <c r="K507" s="1"/>
    </row>
    <row r="508" spans="11:11" ht="14.25" customHeight="1" x14ac:dyDescent="0.3">
      <c r="K508" s="1"/>
    </row>
    <row r="509" spans="11:11" ht="14.25" customHeight="1" x14ac:dyDescent="0.3">
      <c r="K509" s="1"/>
    </row>
    <row r="510" spans="11:11" ht="14.25" customHeight="1" x14ac:dyDescent="0.3">
      <c r="K510" s="1"/>
    </row>
    <row r="511" spans="11:11" ht="14.25" customHeight="1" x14ac:dyDescent="0.3">
      <c r="K511" s="1"/>
    </row>
    <row r="512" spans="11:11" ht="14.25" customHeight="1" x14ac:dyDescent="0.3">
      <c r="K512" s="1"/>
    </row>
    <row r="513" spans="11:11" ht="14.25" customHeight="1" x14ac:dyDescent="0.3">
      <c r="K513" s="1"/>
    </row>
    <row r="514" spans="11:11" ht="14.25" customHeight="1" x14ac:dyDescent="0.3">
      <c r="K514" s="1"/>
    </row>
    <row r="515" spans="11:11" ht="14.25" customHeight="1" x14ac:dyDescent="0.3">
      <c r="K515" s="1"/>
    </row>
    <row r="516" spans="11:11" ht="14.25" customHeight="1" x14ac:dyDescent="0.3">
      <c r="K516" s="1"/>
    </row>
    <row r="517" spans="11:11" ht="14.25" customHeight="1" x14ac:dyDescent="0.3">
      <c r="K517" s="1"/>
    </row>
    <row r="518" spans="11:11" ht="14.25" customHeight="1" x14ac:dyDescent="0.3">
      <c r="K518" s="1"/>
    </row>
    <row r="519" spans="11:11" ht="14.25" customHeight="1" x14ac:dyDescent="0.3">
      <c r="K519" s="1"/>
    </row>
    <row r="520" spans="11:11" ht="14.25" customHeight="1" x14ac:dyDescent="0.3">
      <c r="K520" s="1"/>
    </row>
    <row r="521" spans="11:11" ht="14.25" customHeight="1" x14ac:dyDescent="0.3">
      <c r="K521" s="1"/>
    </row>
    <row r="522" spans="11:11" ht="14.25" customHeight="1" x14ac:dyDescent="0.3">
      <c r="K522" s="1"/>
    </row>
    <row r="523" spans="11:11" ht="14.25" customHeight="1" x14ac:dyDescent="0.3">
      <c r="K523" s="1"/>
    </row>
    <row r="524" spans="11:11" ht="14.25" customHeight="1" x14ac:dyDescent="0.3">
      <c r="K524" s="1"/>
    </row>
    <row r="525" spans="11:11" ht="14.25" customHeight="1" x14ac:dyDescent="0.3">
      <c r="K525" s="1"/>
    </row>
    <row r="526" spans="11:11" ht="14.25" customHeight="1" x14ac:dyDescent="0.3">
      <c r="K526" s="1"/>
    </row>
    <row r="527" spans="11:11" ht="14.25" customHeight="1" x14ac:dyDescent="0.3">
      <c r="K527" s="1"/>
    </row>
    <row r="528" spans="11:11" ht="14.25" customHeight="1" x14ac:dyDescent="0.3">
      <c r="K528" s="1"/>
    </row>
    <row r="529" spans="11:11" ht="14.25" customHeight="1" x14ac:dyDescent="0.3">
      <c r="K529" s="1"/>
    </row>
    <row r="530" spans="11:11" ht="14.25" customHeight="1" x14ac:dyDescent="0.3">
      <c r="K530" s="1"/>
    </row>
    <row r="531" spans="11:11" ht="14.25" customHeight="1" x14ac:dyDescent="0.3">
      <c r="K531" s="1"/>
    </row>
    <row r="532" spans="11:11" ht="14.25" customHeight="1" x14ac:dyDescent="0.3">
      <c r="K532" s="1"/>
    </row>
    <row r="533" spans="11:11" ht="14.25" customHeight="1" x14ac:dyDescent="0.3">
      <c r="K533" s="1"/>
    </row>
    <row r="534" spans="11:11" ht="14.25" customHeight="1" x14ac:dyDescent="0.3">
      <c r="K534" s="1"/>
    </row>
    <row r="535" spans="11:11" ht="14.25" customHeight="1" x14ac:dyDescent="0.3">
      <c r="K535" s="1"/>
    </row>
    <row r="536" spans="11:11" ht="14.25" customHeight="1" x14ac:dyDescent="0.3">
      <c r="K536" s="1"/>
    </row>
    <row r="537" spans="11:11" ht="14.25" customHeight="1" x14ac:dyDescent="0.3">
      <c r="K537" s="1"/>
    </row>
    <row r="538" spans="11:11" ht="14.25" customHeight="1" x14ac:dyDescent="0.3">
      <c r="K538" s="1"/>
    </row>
    <row r="539" spans="11:11" ht="14.25" customHeight="1" x14ac:dyDescent="0.3">
      <c r="K539" s="1"/>
    </row>
    <row r="540" spans="11:11" ht="14.25" customHeight="1" x14ac:dyDescent="0.3">
      <c r="K540" s="1"/>
    </row>
    <row r="541" spans="11:11" ht="14.25" customHeight="1" x14ac:dyDescent="0.3">
      <c r="K541" s="1"/>
    </row>
    <row r="542" spans="11:11" ht="14.25" customHeight="1" x14ac:dyDescent="0.3">
      <c r="K542" s="1"/>
    </row>
    <row r="543" spans="11:11" ht="14.25" customHeight="1" x14ac:dyDescent="0.3">
      <c r="K543" s="1"/>
    </row>
    <row r="544" spans="11:11" ht="14.25" customHeight="1" x14ac:dyDescent="0.3">
      <c r="K544" s="1"/>
    </row>
    <row r="545" spans="11:11" ht="14.25" customHeight="1" x14ac:dyDescent="0.3">
      <c r="K545" s="1"/>
    </row>
    <row r="546" spans="11:11" ht="14.25" customHeight="1" x14ac:dyDescent="0.3">
      <c r="K546" s="1"/>
    </row>
    <row r="547" spans="11:11" ht="14.25" customHeight="1" x14ac:dyDescent="0.3">
      <c r="K547" s="1"/>
    </row>
    <row r="548" spans="11:11" ht="14.25" customHeight="1" x14ac:dyDescent="0.3">
      <c r="K548" s="1"/>
    </row>
    <row r="549" spans="11:11" ht="14.25" customHeight="1" x14ac:dyDescent="0.3">
      <c r="K549" s="1"/>
    </row>
    <row r="550" spans="11:11" ht="14.25" customHeight="1" x14ac:dyDescent="0.3">
      <c r="K550" s="1"/>
    </row>
    <row r="551" spans="11:11" ht="14.25" customHeight="1" x14ac:dyDescent="0.3">
      <c r="K551" s="1"/>
    </row>
    <row r="552" spans="11:11" ht="14.25" customHeight="1" x14ac:dyDescent="0.3">
      <c r="K552" s="1"/>
    </row>
    <row r="553" spans="11:11" ht="14.25" customHeight="1" x14ac:dyDescent="0.3">
      <c r="K553" s="1"/>
    </row>
    <row r="554" spans="11:11" ht="14.25" customHeight="1" x14ac:dyDescent="0.3">
      <c r="K554" s="1"/>
    </row>
    <row r="555" spans="11:11" ht="14.25" customHeight="1" x14ac:dyDescent="0.3">
      <c r="K555" s="1"/>
    </row>
    <row r="556" spans="11:11" ht="14.25" customHeight="1" x14ac:dyDescent="0.3">
      <c r="K556" s="1"/>
    </row>
    <row r="557" spans="11:11" ht="14.25" customHeight="1" x14ac:dyDescent="0.3">
      <c r="K557" s="1"/>
    </row>
    <row r="558" spans="11:11" ht="14.25" customHeight="1" x14ac:dyDescent="0.3">
      <c r="K558" s="1"/>
    </row>
    <row r="559" spans="11:11" ht="14.25" customHeight="1" x14ac:dyDescent="0.3">
      <c r="K559" s="1"/>
    </row>
    <row r="560" spans="11:11" ht="14.25" customHeight="1" x14ac:dyDescent="0.3">
      <c r="K560" s="1"/>
    </row>
    <row r="561" spans="11:11" ht="14.25" customHeight="1" x14ac:dyDescent="0.3">
      <c r="K561" s="1"/>
    </row>
    <row r="562" spans="11:11" ht="14.25" customHeight="1" x14ac:dyDescent="0.3">
      <c r="K562" s="1"/>
    </row>
    <row r="563" spans="11:11" ht="14.25" customHeight="1" x14ac:dyDescent="0.3">
      <c r="K563" s="1"/>
    </row>
    <row r="564" spans="11:11" ht="14.25" customHeight="1" x14ac:dyDescent="0.3">
      <c r="K564" s="1"/>
    </row>
    <row r="565" spans="11:11" ht="14.25" customHeight="1" x14ac:dyDescent="0.3">
      <c r="K565" s="1"/>
    </row>
    <row r="566" spans="11:11" ht="14.25" customHeight="1" x14ac:dyDescent="0.3">
      <c r="K566" s="1"/>
    </row>
    <row r="567" spans="11:11" ht="14.25" customHeight="1" x14ac:dyDescent="0.3">
      <c r="K567" s="1"/>
    </row>
    <row r="568" spans="11:11" ht="14.25" customHeight="1" x14ac:dyDescent="0.3">
      <c r="K568" s="1"/>
    </row>
    <row r="569" spans="11:11" ht="14.25" customHeight="1" x14ac:dyDescent="0.3">
      <c r="K569" s="1"/>
    </row>
    <row r="570" spans="11:11" ht="14.25" customHeight="1" x14ac:dyDescent="0.3">
      <c r="K570" s="1"/>
    </row>
    <row r="571" spans="11:11" ht="14.25" customHeight="1" x14ac:dyDescent="0.3">
      <c r="K571" s="1"/>
    </row>
    <row r="572" spans="11:11" ht="14.25" customHeight="1" x14ac:dyDescent="0.3">
      <c r="K572" s="1"/>
    </row>
    <row r="573" spans="11:11" ht="14.25" customHeight="1" x14ac:dyDescent="0.3">
      <c r="K573" s="1"/>
    </row>
    <row r="574" spans="11:11" ht="14.25" customHeight="1" x14ac:dyDescent="0.3">
      <c r="K574" s="1"/>
    </row>
    <row r="575" spans="11:11" ht="14.25" customHeight="1" x14ac:dyDescent="0.3">
      <c r="K575" s="1"/>
    </row>
    <row r="576" spans="11:11" ht="14.25" customHeight="1" x14ac:dyDescent="0.3">
      <c r="K576" s="1"/>
    </row>
    <row r="577" spans="11:11" ht="14.25" customHeight="1" x14ac:dyDescent="0.3">
      <c r="K577" s="1"/>
    </row>
    <row r="578" spans="11:11" ht="14.25" customHeight="1" x14ac:dyDescent="0.3">
      <c r="K578" s="1"/>
    </row>
    <row r="579" spans="11:11" ht="14.25" customHeight="1" x14ac:dyDescent="0.3">
      <c r="K579" s="1"/>
    </row>
    <row r="580" spans="11:11" ht="14.25" customHeight="1" x14ac:dyDescent="0.3">
      <c r="K580" s="1"/>
    </row>
    <row r="581" spans="11:11" ht="14.25" customHeight="1" x14ac:dyDescent="0.3">
      <c r="K581" s="1"/>
    </row>
    <row r="582" spans="11:11" ht="14.25" customHeight="1" x14ac:dyDescent="0.3">
      <c r="K582" s="1"/>
    </row>
    <row r="583" spans="11:11" ht="14.25" customHeight="1" x14ac:dyDescent="0.3">
      <c r="K583" s="1"/>
    </row>
    <row r="584" spans="11:11" ht="14.25" customHeight="1" x14ac:dyDescent="0.3">
      <c r="K584" s="1"/>
    </row>
    <row r="585" spans="11:11" ht="14.25" customHeight="1" x14ac:dyDescent="0.3">
      <c r="K585" s="1"/>
    </row>
    <row r="586" spans="11:11" ht="14.25" customHeight="1" x14ac:dyDescent="0.3">
      <c r="K586" s="1"/>
    </row>
    <row r="587" spans="11:11" ht="14.25" customHeight="1" x14ac:dyDescent="0.3">
      <c r="K587" s="1"/>
    </row>
    <row r="588" spans="11:11" ht="14.25" customHeight="1" x14ac:dyDescent="0.3">
      <c r="K588" s="1"/>
    </row>
    <row r="589" spans="11:11" ht="14.25" customHeight="1" x14ac:dyDescent="0.3">
      <c r="K589" s="1"/>
    </row>
    <row r="590" spans="11:11" ht="14.25" customHeight="1" x14ac:dyDescent="0.3">
      <c r="K590" s="1"/>
    </row>
    <row r="591" spans="11:11" ht="14.25" customHeight="1" x14ac:dyDescent="0.3">
      <c r="K591" s="1"/>
    </row>
    <row r="592" spans="11:11" ht="14.25" customHeight="1" x14ac:dyDescent="0.3">
      <c r="K592" s="1"/>
    </row>
    <row r="593" spans="11:11" ht="14.25" customHeight="1" x14ac:dyDescent="0.3">
      <c r="K593" s="1"/>
    </row>
    <row r="594" spans="11:11" ht="14.25" customHeight="1" x14ac:dyDescent="0.3">
      <c r="K594" s="1"/>
    </row>
    <row r="595" spans="11:11" ht="14.25" customHeight="1" x14ac:dyDescent="0.3">
      <c r="K595" s="1"/>
    </row>
    <row r="596" spans="11:11" ht="14.25" customHeight="1" x14ac:dyDescent="0.3">
      <c r="K596" s="1"/>
    </row>
    <row r="597" spans="11:11" ht="14.25" customHeight="1" x14ac:dyDescent="0.3">
      <c r="K597" s="1"/>
    </row>
    <row r="598" spans="11:11" ht="14.25" customHeight="1" x14ac:dyDescent="0.3">
      <c r="K598" s="1"/>
    </row>
    <row r="599" spans="11:11" ht="14.25" customHeight="1" x14ac:dyDescent="0.3">
      <c r="K599" s="1"/>
    </row>
    <row r="600" spans="11:11" ht="14.25" customHeight="1" x14ac:dyDescent="0.3">
      <c r="K600" s="1"/>
    </row>
    <row r="601" spans="11:11" ht="14.25" customHeight="1" x14ac:dyDescent="0.3">
      <c r="K601" s="1"/>
    </row>
    <row r="602" spans="11:11" ht="14.25" customHeight="1" x14ac:dyDescent="0.3">
      <c r="K602" s="1"/>
    </row>
    <row r="603" spans="11:11" ht="14.25" customHeight="1" x14ac:dyDescent="0.3">
      <c r="K603" s="1"/>
    </row>
    <row r="604" spans="11:11" ht="14.25" customHeight="1" x14ac:dyDescent="0.3">
      <c r="K604" s="1"/>
    </row>
    <row r="605" spans="11:11" ht="14.25" customHeight="1" x14ac:dyDescent="0.3">
      <c r="K605" s="1"/>
    </row>
    <row r="606" spans="11:11" ht="14.25" customHeight="1" x14ac:dyDescent="0.3">
      <c r="K606" s="1"/>
    </row>
    <row r="607" spans="11:11" ht="14.25" customHeight="1" x14ac:dyDescent="0.3">
      <c r="K607" s="1"/>
    </row>
    <row r="608" spans="11:11" ht="14.25" customHeight="1" x14ac:dyDescent="0.3">
      <c r="K608" s="1"/>
    </row>
    <row r="609" spans="11:11" ht="14.25" customHeight="1" x14ac:dyDescent="0.3">
      <c r="K609" s="1"/>
    </row>
    <row r="610" spans="11:11" ht="14.25" customHeight="1" x14ac:dyDescent="0.3">
      <c r="K610" s="1"/>
    </row>
    <row r="611" spans="11:11" ht="14.25" customHeight="1" x14ac:dyDescent="0.3">
      <c r="K611" s="1"/>
    </row>
    <row r="612" spans="11:11" ht="14.25" customHeight="1" x14ac:dyDescent="0.3">
      <c r="K612" s="1"/>
    </row>
    <row r="613" spans="11:11" ht="14.25" customHeight="1" x14ac:dyDescent="0.3">
      <c r="K613" s="1"/>
    </row>
    <row r="614" spans="11:11" ht="14.25" customHeight="1" x14ac:dyDescent="0.3">
      <c r="K614" s="1"/>
    </row>
    <row r="615" spans="11:11" ht="14.25" customHeight="1" x14ac:dyDescent="0.3">
      <c r="K615" s="1"/>
    </row>
    <row r="616" spans="11:11" ht="14.25" customHeight="1" x14ac:dyDescent="0.3">
      <c r="K616" s="1"/>
    </row>
    <row r="617" spans="11:11" ht="14.25" customHeight="1" x14ac:dyDescent="0.3">
      <c r="K617" s="1"/>
    </row>
    <row r="618" spans="11:11" ht="14.25" customHeight="1" x14ac:dyDescent="0.3">
      <c r="K618" s="1"/>
    </row>
    <row r="619" spans="11:11" ht="14.25" customHeight="1" x14ac:dyDescent="0.3">
      <c r="K619" s="1"/>
    </row>
    <row r="620" spans="11:11" ht="14.25" customHeight="1" x14ac:dyDescent="0.3">
      <c r="K620" s="1"/>
    </row>
    <row r="621" spans="11:11" ht="14.25" customHeight="1" x14ac:dyDescent="0.3">
      <c r="K621" s="1"/>
    </row>
    <row r="622" spans="11:11" ht="14.25" customHeight="1" x14ac:dyDescent="0.3">
      <c r="K622" s="1"/>
    </row>
    <row r="623" spans="11:11" ht="14.25" customHeight="1" x14ac:dyDescent="0.3">
      <c r="K623" s="1"/>
    </row>
    <row r="624" spans="11:11" ht="14.25" customHeight="1" x14ac:dyDescent="0.3">
      <c r="K624" s="1"/>
    </row>
    <row r="625" spans="11:11" ht="14.25" customHeight="1" x14ac:dyDescent="0.3">
      <c r="K625" s="1"/>
    </row>
    <row r="626" spans="11:11" ht="14.25" customHeight="1" x14ac:dyDescent="0.3">
      <c r="K626" s="1"/>
    </row>
    <row r="627" spans="11:11" ht="14.25" customHeight="1" x14ac:dyDescent="0.3">
      <c r="K627" s="1"/>
    </row>
    <row r="628" spans="11:11" ht="14.25" customHeight="1" x14ac:dyDescent="0.3">
      <c r="K628" s="1"/>
    </row>
    <row r="629" spans="11:11" ht="14.25" customHeight="1" x14ac:dyDescent="0.3">
      <c r="K629" s="1"/>
    </row>
    <row r="630" spans="11:11" ht="14.25" customHeight="1" x14ac:dyDescent="0.3">
      <c r="K630" s="1"/>
    </row>
    <row r="631" spans="11:11" ht="14.25" customHeight="1" x14ac:dyDescent="0.3">
      <c r="K631" s="1"/>
    </row>
    <row r="632" spans="11:11" ht="14.25" customHeight="1" x14ac:dyDescent="0.3">
      <c r="K632" s="1"/>
    </row>
    <row r="633" spans="11:11" ht="14.25" customHeight="1" x14ac:dyDescent="0.3">
      <c r="K633" s="1"/>
    </row>
    <row r="634" spans="11:11" ht="14.25" customHeight="1" x14ac:dyDescent="0.3">
      <c r="K634" s="1"/>
    </row>
    <row r="635" spans="11:11" ht="14.25" customHeight="1" x14ac:dyDescent="0.3">
      <c r="K635" s="1"/>
    </row>
    <row r="636" spans="11:11" ht="14.25" customHeight="1" x14ac:dyDescent="0.3">
      <c r="K636" s="1"/>
    </row>
    <row r="637" spans="11:11" ht="14.25" customHeight="1" x14ac:dyDescent="0.3">
      <c r="K637" s="1"/>
    </row>
    <row r="638" spans="11:11" ht="14.25" customHeight="1" x14ac:dyDescent="0.3">
      <c r="K638" s="1"/>
    </row>
    <row r="639" spans="11:11" ht="14.25" customHeight="1" x14ac:dyDescent="0.3">
      <c r="K639" s="1"/>
    </row>
    <row r="640" spans="11:11" ht="14.25" customHeight="1" x14ac:dyDescent="0.3">
      <c r="K640" s="1"/>
    </row>
    <row r="641" spans="11:11" ht="14.25" customHeight="1" x14ac:dyDescent="0.3">
      <c r="K641" s="1"/>
    </row>
    <row r="642" spans="11:11" ht="14.25" customHeight="1" x14ac:dyDescent="0.3">
      <c r="K642" s="1"/>
    </row>
    <row r="643" spans="11:11" ht="14.25" customHeight="1" x14ac:dyDescent="0.3">
      <c r="K643" s="1"/>
    </row>
    <row r="644" spans="11:11" ht="14.25" customHeight="1" x14ac:dyDescent="0.3">
      <c r="K644" s="1"/>
    </row>
    <row r="645" spans="11:11" ht="14.25" customHeight="1" x14ac:dyDescent="0.3">
      <c r="K645" s="1"/>
    </row>
    <row r="646" spans="11:11" ht="14.25" customHeight="1" x14ac:dyDescent="0.3">
      <c r="K646" s="1"/>
    </row>
    <row r="647" spans="11:11" ht="14.25" customHeight="1" x14ac:dyDescent="0.3">
      <c r="K647" s="1"/>
    </row>
    <row r="648" spans="11:11" ht="14.25" customHeight="1" x14ac:dyDescent="0.3">
      <c r="K648" s="1"/>
    </row>
    <row r="649" spans="11:11" ht="14.25" customHeight="1" x14ac:dyDescent="0.3">
      <c r="K649" s="1"/>
    </row>
    <row r="650" spans="11:11" ht="14.25" customHeight="1" x14ac:dyDescent="0.3">
      <c r="K650" s="1"/>
    </row>
    <row r="651" spans="11:11" ht="14.25" customHeight="1" x14ac:dyDescent="0.3">
      <c r="K651" s="1"/>
    </row>
    <row r="652" spans="11:11" ht="14.25" customHeight="1" x14ac:dyDescent="0.3">
      <c r="K652" s="1"/>
    </row>
    <row r="653" spans="11:11" ht="14.25" customHeight="1" x14ac:dyDescent="0.3">
      <c r="K653" s="1"/>
    </row>
    <row r="654" spans="11:11" ht="14.25" customHeight="1" x14ac:dyDescent="0.3">
      <c r="K654" s="1"/>
    </row>
    <row r="655" spans="11:11" ht="14.25" customHeight="1" x14ac:dyDescent="0.3">
      <c r="K655" s="1"/>
    </row>
    <row r="656" spans="11:11" ht="14.25" customHeight="1" x14ac:dyDescent="0.3">
      <c r="K656" s="1"/>
    </row>
    <row r="657" spans="11:11" ht="14.25" customHeight="1" x14ac:dyDescent="0.3">
      <c r="K657" s="1"/>
    </row>
    <row r="658" spans="11:11" ht="14.25" customHeight="1" x14ac:dyDescent="0.3">
      <c r="K658" s="1"/>
    </row>
    <row r="659" spans="11:11" ht="14.25" customHeight="1" x14ac:dyDescent="0.3">
      <c r="K659" s="1"/>
    </row>
    <row r="660" spans="11:11" ht="14.25" customHeight="1" x14ac:dyDescent="0.3">
      <c r="K660" s="1"/>
    </row>
    <row r="661" spans="11:11" ht="14.25" customHeight="1" x14ac:dyDescent="0.3">
      <c r="K661" s="1"/>
    </row>
    <row r="662" spans="11:11" ht="14.25" customHeight="1" x14ac:dyDescent="0.3">
      <c r="K662" s="1"/>
    </row>
    <row r="663" spans="11:11" ht="14.25" customHeight="1" x14ac:dyDescent="0.3">
      <c r="K663" s="1"/>
    </row>
    <row r="664" spans="11:11" ht="14.25" customHeight="1" x14ac:dyDescent="0.3">
      <c r="K664" s="1"/>
    </row>
    <row r="665" spans="11:11" ht="14.25" customHeight="1" x14ac:dyDescent="0.3">
      <c r="K665" s="1"/>
    </row>
    <row r="666" spans="11:11" ht="14.25" customHeight="1" x14ac:dyDescent="0.3">
      <c r="K666" s="1"/>
    </row>
    <row r="667" spans="11:11" ht="14.25" customHeight="1" x14ac:dyDescent="0.3">
      <c r="K667" s="1"/>
    </row>
    <row r="668" spans="11:11" ht="14.25" customHeight="1" x14ac:dyDescent="0.3">
      <c r="K668" s="1"/>
    </row>
    <row r="669" spans="11:11" ht="14.25" customHeight="1" x14ac:dyDescent="0.3">
      <c r="K669" s="1"/>
    </row>
    <row r="670" spans="11:11" ht="14.25" customHeight="1" x14ac:dyDescent="0.3">
      <c r="K670" s="1"/>
    </row>
    <row r="671" spans="11:11" ht="14.25" customHeight="1" x14ac:dyDescent="0.3">
      <c r="K671" s="1"/>
    </row>
    <row r="672" spans="11:11" ht="14.25" customHeight="1" x14ac:dyDescent="0.3">
      <c r="K672" s="1"/>
    </row>
    <row r="673" spans="11:11" ht="14.25" customHeight="1" x14ac:dyDescent="0.3">
      <c r="K673" s="1"/>
    </row>
    <row r="674" spans="11:11" ht="14.25" customHeight="1" x14ac:dyDescent="0.3">
      <c r="K674" s="1"/>
    </row>
    <row r="675" spans="11:11" ht="14.25" customHeight="1" x14ac:dyDescent="0.3">
      <c r="K675" s="1"/>
    </row>
    <row r="676" spans="11:11" ht="14.25" customHeight="1" x14ac:dyDescent="0.3">
      <c r="K676" s="1"/>
    </row>
    <row r="677" spans="11:11" ht="14.25" customHeight="1" x14ac:dyDescent="0.3">
      <c r="K677" s="1"/>
    </row>
    <row r="678" spans="11:11" ht="14.25" customHeight="1" x14ac:dyDescent="0.3">
      <c r="K678" s="1"/>
    </row>
    <row r="679" spans="11:11" ht="14.25" customHeight="1" x14ac:dyDescent="0.3">
      <c r="K679" s="1"/>
    </row>
    <row r="680" spans="11:11" ht="14.25" customHeight="1" x14ac:dyDescent="0.3">
      <c r="K680" s="1"/>
    </row>
    <row r="681" spans="11:11" ht="14.25" customHeight="1" x14ac:dyDescent="0.3">
      <c r="K681" s="1"/>
    </row>
    <row r="682" spans="11:11" ht="14.25" customHeight="1" x14ac:dyDescent="0.3">
      <c r="K682" s="1"/>
    </row>
    <row r="683" spans="11:11" ht="14.25" customHeight="1" x14ac:dyDescent="0.3">
      <c r="K683" s="1"/>
    </row>
    <row r="684" spans="11:11" ht="14.25" customHeight="1" x14ac:dyDescent="0.3">
      <c r="K684" s="1"/>
    </row>
    <row r="685" spans="11:11" ht="14.25" customHeight="1" x14ac:dyDescent="0.3">
      <c r="K685" s="1"/>
    </row>
    <row r="686" spans="11:11" ht="14.25" customHeight="1" x14ac:dyDescent="0.3">
      <c r="K686" s="1"/>
    </row>
    <row r="687" spans="11:11" ht="14.25" customHeight="1" x14ac:dyDescent="0.3">
      <c r="K687" s="1"/>
    </row>
    <row r="688" spans="11:11" ht="14.25" customHeight="1" x14ac:dyDescent="0.3">
      <c r="K688" s="1"/>
    </row>
    <row r="689" spans="11:11" ht="14.25" customHeight="1" x14ac:dyDescent="0.3">
      <c r="K689" s="1"/>
    </row>
    <row r="690" spans="11:11" ht="14.25" customHeight="1" x14ac:dyDescent="0.3">
      <c r="K690" s="1"/>
    </row>
    <row r="691" spans="11:11" ht="14.25" customHeight="1" x14ac:dyDescent="0.3">
      <c r="K691" s="1"/>
    </row>
    <row r="692" spans="11:11" ht="14.25" customHeight="1" x14ac:dyDescent="0.3">
      <c r="K692" s="1"/>
    </row>
    <row r="693" spans="11:11" ht="14.25" customHeight="1" x14ac:dyDescent="0.3">
      <c r="K693" s="1"/>
    </row>
    <row r="694" spans="11:11" ht="14.25" customHeight="1" x14ac:dyDescent="0.3">
      <c r="K694" s="1"/>
    </row>
    <row r="695" spans="11:11" ht="14.25" customHeight="1" x14ac:dyDescent="0.3">
      <c r="K695" s="1"/>
    </row>
    <row r="696" spans="11:11" ht="14.25" customHeight="1" x14ac:dyDescent="0.3">
      <c r="K696" s="1"/>
    </row>
    <row r="697" spans="11:11" ht="14.25" customHeight="1" x14ac:dyDescent="0.3">
      <c r="K697" s="1"/>
    </row>
    <row r="698" spans="11:11" ht="14.25" customHeight="1" x14ac:dyDescent="0.3">
      <c r="K698" s="1"/>
    </row>
    <row r="699" spans="11:11" ht="14.25" customHeight="1" x14ac:dyDescent="0.3">
      <c r="K699" s="1"/>
    </row>
    <row r="700" spans="11:11" ht="14.25" customHeight="1" x14ac:dyDescent="0.3">
      <c r="K700" s="1"/>
    </row>
    <row r="701" spans="11:11" ht="14.25" customHeight="1" x14ac:dyDescent="0.3">
      <c r="K701" s="1"/>
    </row>
    <row r="702" spans="11:11" ht="14.25" customHeight="1" x14ac:dyDescent="0.3">
      <c r="K702" s="1"/>
    </row>
    <row r="703" spans="11:11" ht="14.25" customHeight="1" x14ac:dyDescent="0.3">
      <c r="K703" s="1"/>
    </row>
    <row r="704" spans="11:11" ht="14.25" customHeight="1" x14ac:dyDescent="0.3">
      <c r="K704" s="1"/>
    </row>
    <row r="705" spans="11:11" ht="14.25" customHeight="1" x14ac:dyDescent="0.3">
      <c r="K705" s="1"/>
    </row>
    <row r="706" spans="11:11" ht="14.25" customHeight="1" x14ac:dyDescent="0.3">
      <c r="K706" s="1"/>
    </row>
    <row r="707" spans="11:11" ht="14.25" customHeight="1" x14ac:dyDescent="0.3">
      <c r="K707" s="1"/>
    </row>
    <row r="708" spans="11:11" ht="14.25" customHeight="1" x14ac:dyDescent="0.3">
      <c r="K708" s="1"/>
    </row>
    <row r="709" spans="11:11" ht="14.25" customHeight="1" x14ac:dyDescent="0.3">
      <c r="K709" s="1"/>
    </row>
    <row r="710" spans="11:11" ht="14.25" customHeight="1" x14ac:dyDescent="0.3">
      <c r="K710" s="1"/>
    </row>
    <row r="711" spans="11:11" ht="14.25" customHeight="1" x14ac:dyDescent="0.3">
      <c r="K711" s="1"/>
    </row>
    <row r="712" spans="11:11" ht="14.25" customHeight="1" x14ac:dyDescent="0.3">
      <c r="K712" s="1"/>
    </row>
    <row r="713" spans="11:11" ht="14.25" customHeight="1" x14ac:dyDescent="0.3">
      <c r="K713" s="1"/>
    </row>
    <row r="714" spans="11:11" ht="14.25" customHeight="1" x14ac:dyDescent="0.3">
      <c r="K714" s="1"/>
    </row>
    <row r="715" spans="11:11" ht="14.25" customHeight="1" x14ac:dyDescent="0.3">
      <c r="K715" s="1"/>
    </row>
    <row r="716" spans="11:11" ht="14.25" customHeight="1" x14ac:dyDescent="0.3">
      <c r="K716" s="1"/>
    </row>
    <row r="717" spans="11:11" ht="14.25" customHeight="1" x14ac:dyDescent="0.3">
      <c r="K717" s="1"/>
    </row>
    <row r="718" spans="11:11" ht="14.25" customHeight="1" x14ac:dyDescent="0.3">
      <c r="K718" s="1"/>
    </row>
    <row r="719" spans="11:11" ht="14.25" customHeight="1" x14ac:dyDescent="0.3">
      <c r="K719" s="1"/>
    </row>
    <row r="720" spans="11:11" ht="14.25" customHeight="1" x14ac:dyDescent="0.3">
      <c r="K720" s="1"/>
    </row>
    <row r="721" spans="11:11" ht="14.25" customHeight="1" x14ac:dyDescent="0.3">
      <c r="K721" s="1"/>
    </row>
    <row r="722" spans="11:11" ht="14.25" customHeight="1" x14ac:dyDescent="0.3">
      <c r="K722" s="1"/>
    </row>
    <row r="723" spans="11:11" ht="14.25" customHeight="1" x14ac:dyDescent="0.3">
      <c r="K723" s="1"/>
    </row>
    <row r="724" spans="11:11" ht="14.25" customHeight="1" x14ac:dyDescent="0.3">
      <c r="K724" s="1"/>
    </row>
    <row r="725" spans="11:11" ht="14.25" customHeight="1" x14ac:dyDescent="0.3">
      <c r="K725" s="1"/>
    </row>
    <row r="726" spans="11:11" ht="14.25" customHeight="1" x14ac:dyDescent="0.3">
      <c r="K726" s="1"/>
    </row>
    <row r="727" spans="11:11" ht="14.25" customHeight="1" x14ac:dyDescent="0.3">
      <c r="K727" s="1"/>
    </row>
    <row r="728" spans="11:11" ht="14.25" customHeight="1" x14ac:dyDescent="0.3">
      <c r="K728" s="1"/>
    </row>
    <row r="729" spans="11:11" ht="14.25" customHeight="1" x14ac:dyDescent="0.3">
      <c r="K729" s="1"/>
    </row>
    <row r="730" spans="11:11" ht="14.25" customHeight="1" x14ac:dyDescent="0.3">
      <c r="K730" s="1"/>
    </row>
    <row r="731" spans="11:11" ht="14.25" customHeight="1" x14ac:dyDescent="0.3">
      <c r="K731" s="1"/>
    </row>
    <row r="732" spans="11:11" ht="14.25" customHeight="1" x14ac:dyDescent="0.3">
      <c r="K732" s="1"/>
    </row>
    <row r="733" spans="11:11" ht="14.25" customHeight="1" x14ac:dyDescent="0.3">
      <c r="K733" s="1"/>
    </row>
    <row r="734" spans="11:11" ht="14.25" customHeight="1" x14ac:dyDescent="0.3">
      <c r="K734" s="1"/>
    </row>
    <row r="735" spans="11:11" ht="14.25" customHeight="1" x14ac:dyDescent="0.3">
      <c r="K735" s="1"/>
    </row>
    <row r="736" spans="11:11" ht="14.25" customHeight="1" x14ac:dyDescent="0.3">
      <c r="K736" s="1"/>
    </row>
    <row r="737" spans="11:11" ht="14.25" customHeight="1" x14ac:dyDescent="0.3">
      <c r="K737" s="1"/>
    </row>
    <row r="738" spans="11:11" ht="14.25" customHeight="1" x14ac:dyDescent="0.3">
      <c r="K738" s="1"/>
    </row>
    <row r="739" spans="11:11" ht="14.25" customHeight="1" x14ac:dyDescent="0.3">
      <c r="K739" s="1"/>
    </row>
    <row r="740" spans="11:11" ht="14.25" customHeight="1" x14ac:dyDescent="0.3">
      <c r="K740" s="1"/>
    </row>
    <row r="741" spans="11:11" ht="14.25" customHeight="1" x14ac:dyDescent="0.3">
      <c r="K741" s="1"/>
    </row>
    <row r="742" spans="11:11" ht="14.25" customHeight="1" x14ac:dyDescent="0.3">
      <c r="K742" s="1"/>
    </row>
    <row r="743" spans="11:11" ht="14.25" customHeight="1" x14ac:dyDescent="0.3">
      <c r="K743" s="1"/>
    </row>
    <row r="744" spans="11:11" ht="14.25" customHeight="1" x14ac:dyDescent="0.3">
      <c r="K744" s="1"/>
    </row>
    <row r="745" spans="11:11" ht="14.25" customHeight="1" x14ac:dyDescent="0.3">
      <c r="K745" s="1"/>
    </row>
    <row r="746" spans="11:11" ht="14.25" customHeight="1" x14ac:dyDescent="0.3">
      <c r="K746" s="1"/>
    </row>
    <row r="747" spans="11:11" ht="14.25" customHeight="1" x14ac:dyDescent="0.3">
      <c r="K747" s="1"/>
    </row>
    <row r="748" spans="11:11" ht="14.25" customHeight="1" x14ac:dyDescent="0.3">
      <c r="K748" s="1"/>
    </row>
    <row r="749" spans="11:11" ht="14.25" customHeight="1" x14ac:dyDescent="0.3">
      <c r="K749" s="1"/>
    </row>
    <row r="750" spans="11:11" ht="14.25" customHeight="1" x14ac:dyDescent="0.3">
      <c r="K750" s="1"/>
    </row>
    <row r="751" spans="11:11" ht="14.25" customHeight="1" x14ac:dyDescent="0.3">
      <c r="K751" s="1"/>
    </row>
    <row r="752" spans="11:11" ht="14.25" customHeight="1" x14ac:dyDescent="0.3">
      <c r="K752" s="1"/>
    </row>
    <row r="753" spans="11:11" ht="14.25" customHeight="1" x14ac:dyDescent="0.3">
      <c r="K753" s="1"/>
    </row>
    <row r="754" spans="11:11" ht="14.25" customHeight="1" x14ac:dyDescent="0.3">
      <c r="K754" s="1"/>
    </row>
    <row r="755" spans="11:11" ht="14.25" customHeight="1" x14ac:dyDescent="0.3">
      <c r="K755" s="1"/>
    </row>
    <row r="756" spans="11:11" ht="14.25" customHeight="1" x14ac:dyDescent="0.3">
      <c r="K756" s="1"/>
    </row>
    <row r="757" spans="11:11" ht="14.25" customHeight="1" x14ac:dyDescent="0.3">
      <c r="K757" s="1"/>
    </row>
    <row r="758" spans="11:11" ht="14.25" customHeight="1" x14ac:dyDescent="0.3">
      <c r="K758" s="1"/>
    </row>
    <row r="759" spans="11:11" ht="14.25" customHeight="1" x14ac:dyDescent="0.3">
      <c r="K759" s="1"/>
    </row>
    <row r="760" spans="11:11" ht="14.25" customHeight="1" x14ac:dyDescent="0.3">
      <c r="K760" s="1"/>
    </row>
    <row r="761" spans="11:11" ht="14.25" customHeight="1" x14ac:dyDescent="0.3">
      <c r="K761" s="1"/>
    </row>
    <row r="762" spans="11:11" ht="14.25" customHeight="1" x14ac:dyDescent="0.3">
      <c r="K762" s="1"/>
    </row>
    <row r="763" spans="11:11" ht="14.25" customHeight="1" x14ac:dyDescent="0.3">
      <c r="K763" s="1"/>
    </row>
    <row r="764" spans="11:11" ht="14.25" customHeight="1" x14ac:dyDescent="0.3">
      <c r="K764" s="1"/>
    </row>
    <row r="765" spans="11:11" ht="14.25" customHeight="1" x14ac:dyDescent="0.3">
      <c r="K765" s="1"/>
    </row>
    <row r="766" spans="11:11" ht="14.25" customHeight="1" x14ac:dyDescent="0.3">
      <c r="K766" s="1"/>
    </row>
    <row r="767" spans="11:11" ht="14.25" customHeight="1" x14ac:dyDescent="0.3">
      <c r="K767" s="1"/>
    </row>
    <row r="768" spans="11:11" ht="14.25" customHeight="1" x14ac:dyDescent="0.3">
      <c r="K768" s="1"/>
    </row>
    <row r="769" spans="11:11" ht="14.25" customHeight="1" x14ac:dyDescent="0.3">
      <c r="K769" s="1"/>
    </row>
    <row r="770" spans="11:11" ht="14.25" customHeight="1" x14ac:dyDescent="0.3">
      <c r="K770" s="1"/>
    </row>
    <row r="771" spans="11:11" ht="14.25" customHeight="1" x14ac:dyDescent="0.3">
      <c r="K771" s="1"/>
    </row>
    <row r="772" spans="11:11" ht="14.25" customHeight="1" x14ac:dyDescent="0.3">
      <c r="K772" s="1"/>
    </row>
    <row r="773" spans="11:11" ht="14.25" customHeight="1" x14ac:dyDescent="0.3">
      <c r="K773" s="1"/>
    </row>
    <row r="774" spans="11:11" ht="14.25" customHeight="1" x14ac:dyDescent="0.3">
      <c r="K774" s="1"/>
    </row>
    <row r="775" spans="11:11" ht="14.25" customHeight="1" x14ac:dyDescent="0.3">
      <c r="K775" s="1"/>
    </row>
    <row r="776" spans="11:11" ht="14.25" customHeight="1" x14ac:dyDescent="0.3">
      <c r="K776" s="1"/>
    </row>
    <row r="777" spans="11:11" ht="14.25" customHeight="1" x14ac:dyDescent="0.3">
      <c r="K777" s="1"/>
    </row>
    <row r="778" spans="11:11" ht="14.25" customHeight="1" x14ac:dyDescent="0.3">
      <c r="K778" s="1"/>
    </row>
    <row r="779" spans="11:11" ht="14.25" customHeight="1" x14ac:dyDescent="0.3">
      <c r="K779" s="1"/>
    </row>
    <row r="780" spans="11:11" ht="14.25" customHeight="1" x14ac:dyDescent="0.3">
      <c r="K780" s="1"/>
    </row>
    <row r="781" spans="11:11" ht="14.25" customHeight="1" x14ac:dyDescent="0.3">
      <c r="K781" s="1"/>
    </row>
    <row r="782" spans="11:11" ht="14.25" customHeight="1" x14ac:dyDescent="0.3">
      <c r="K782" s="1"/>
    </row>
    <row r="783" spans="11:11" ht="14.25" customHeight="1" x14ac:dyDescent="0.3">
      <c r="K783" s="1"/>
    </row>
    <row r="784" spans="11:11" ht="14.25" customHeight="1" x14ac:dyDescent="0.3">
      <c r="K784" s="1"/>
    </row>
    <row r="785" spans="11:11" ht="14.25" customHeight="1" x14ac:dyDescent="0.3">
      <c r="K785" s="1"/>
    </row>
    <row r="786" spans="11:11" ht="14.25" customHeight="1" x14ac:dyDescent="0.3">
      <c r="K786" s="1"/>
    </row>
    <row r="787" spans="11:11" ht="14.25" customHeight="1" x14ac:dyDescent="0.3">
      <c r="K787" s="1"/>
    </row>
    <row r="788" spans="11:11" ht="14.25" customHeight="1" x14ac:dyDescent="0.3">
      <c r="K788" s="1"/>
    </row>
    <row r="789" spans="11:11" ht="14.25" customHeight="1" x14ac:dyDescent="0.3">
      <c r="K789" s="1"/>
    </row>
    <row r="790" spans="11:11" ht="14.25" customHeight="1" x14ac:dyDescent="0.3">
      <c r="K790" s="1"/>
    </row>
    <row r="791" spans="11:11" ht="14.25" customHeight="1" x14ac:dyDescent="0.3">
      <c r="K791" s="1"/>
    </row>
    <row r="792" spans="11:11" ht="14.25" customHeight="1" x14ac:dyDescent="0.3">
      <c r="K792" s="1"/>
    </row>
    <row r="793" spans="11:11" ht="14.25" customHeight="1" x14ac:dyDescent="0.3">
      <c r="K793" s="1"/>
    </row>
    <row r="794" spans="11:11" ht="14.25" customHeight="1" x14ac:dyDescent="0.3">
      <c r="K794" s="1"/>
    </row>
    <row r="795" spans="11:11" ht="14.25" customHeight="1" x14ac:dyDescent="0.3">
      <c r="K795" s="1"/>
    </row>
    <row r="796" spans="11:11" ht="14.25" customHeight="1" x14ac:dyDescent="0.3">
      <c r="K796" s="1"/>
    </row>
    <row r="797" spans="11:11" ht="14.25" customHeight="1" x14ac:dyDescent="0.3">
      <c r="K797" s="1"/>
    </row>
    <row r="798" spans="11:11" ht="14.25" customHeight="1" x14ac:dyDescent="0.3">
      <c r="K798" s="1"/>
    </row>
    <row r="799" spans="11:11" ht="14.25" customHeight="1" x14ac:dyDescent="0.3">
      <c r="K799" s="1"/>
    </row>
    <row r="800" spans="11:11" ht="14.25" customHeight="1" x14ac:dyDescent="0.3">
      <c r="K800" s="1"/>
    </row>
    <row r="801" spans="11:11" ht="14.25" customHeight="1" x14ac:dyDescent="0.3">
      <c r="K801" s="1"/>
    </row>
    <row r="802" spans="11:11" ht="14.25" customHeight="1" x14ac:dyDescent="0.3">
      <c r="K802" s="1"/>
    </row>
    <row r="803" spans="11:11" ht="14.25" customHeight="1" x14ac:dyDescent="0.3">
      <c r="K803" s="1"/>
    </row>
    <row r="804" spans="11:11" ht="14.25" customHeight="1" x14ac:dyDescent="0.3">
      <c r="K804" s="1"/>
    </row>
    <row r="805" spans="11:11" ht="14.25" customHeight="1" x14ac:dyDescent="0.3">
      <c r="K805" s="1"/>
    </row>
    <row r="806" spans="11:11" ht="14.25" customHeight="1" x14ac:dyDescent="0.3">
      <c r="K806" s="1"/>
    </row>
    <row r="807" spans="11:11" ht="14.25" customHeight="1" x14ac:dyDescent="0.3">
      <c r="K807" s="1"/>
    </row>
    <row r="808" spans="11:11" ht="14.25" customHeight="1" x14ac:dyDescent="0.3">
      <c r="K808" s="1"/>
    </row>
    <row r="809" spans="11:11" ht="14.25" customHeight="1" x14ac:dyDescent="0.3">
      <c r="K809" s="1"/>
    </row>
    <row r="810" spans="11:11" ht="14.25" customHeight="1" x14ac:dyDescent="0.3">
      <c r="K810" s="1"/>
    </row>
    <row r="811" spans="11:11" ht="14.25" customHeight="1" x14ac:dyDescent="0.3">
      <c r="K811" s="1"/>
    </row>
    <row r="812" spans="11:11" ht="14.25" customHeight="1" x14ac:dyDescent="0.3">
      <c r="K812" s="1"/>
    </row>
    <row r="813" spans="11:11" ht="14.25" customHeight="1" x14ac:dyDescent="0.3">
      <c r="K813" s="1"/>
    </row>
    <row r="814" spans="11:11" ht="14.25" customHeight="1" x14ac:dyDescent="0.3">
      <c r="K814" s="1"/>
    </row>
    <row r="815" spans="11:11" ht="14.25" customHeight="1" x14ac:dyDescent="0.3">
      <c r="K815" s="1"/>
    </row>
    <row r="816" spans="11:11" ht="14.25" customHeight="1" x14ac:dyDescent="0.3">
      <c r="K816" s="1"/>
    </row>
    <row r="817" spans="11:11" ht="14.25" customHeight="1" x14ac:dyDescent="0.3">
      <c r="K817" s="1"/>
    </row>
    <row r="818" spans="11:11" ht="14.25" customHeight="1" x14ac:dyDescent="0.3">
      <c r="K818" s="1"/>
    </row>
    <row r="819" spans="11:11" ht="14.25" customHeight="1" x14ac:dyDescent="0.3">
      <c r="K819" s="1"/>
    </row>
    <row r="820" spans="11:11" ht="14.25" customHeight="1" x14ac:dyDescent="0.3">
      <c r="K820" s="1"/>
    </row>
    <row r="821" spans="11:11" ht="14.25" customHeight="1" x14ac:dyDescent="0.3">
      <c r="K821" s="1"/>
    </row>
    <row r="822" spans="11:11" ht="14.25" customHeight="1" x14ac:dyDescent="0.3">
      <c r="K822" s="1"/>
    </row>
    <row r="823" spans="11:11" ht="14.25" customHeight="1" x14ac:dyDescent="0.3">
      <c r="K823" s="1"/>
    </row>
    <row r="824" spans="11:11" ht="14.25" customHeight="1" x14ac:dyDescent="0.3">
      <c r="K824" s="1"/>
    </row>
    <row r="825" spans="11:11" ht="14.25" customHeight="1" x14ac:dyDescent="0.3">
      <c r="K825" s="1"/>
    </row>
    <row r="826" spans="11:11" ht="14.25" customHeight="1" x14ac:dyDescent="0.3">
      <c r="K826" s="1"/>
    </row>
    <row r="827" spans="11:11" ht="14.25" customHeight="1" x14ac:dyDescent="0.3">
      <c r="K827" s="1"/>
    </row>
    <row r="828" spans="11:11" ht="14.25" customHeight="1" x14ac:dyDescent="0.3">
      <c r="K828" s="1"/>
    </row>
    <row r="829" spans="11:11" ht="14.25" customHeight="1" x14ac:dyDescent="0.3">
      <c r="K829" s="1"/>
    </row>
    <row r="830" spans="11:11" ht="14.25" customHeight="1" x14ac:dyDescent="0.3">
      <c r="K830" s="1"/>
    </row>
    <row r="831" spans="11:11" ht="14.25" customHeight="1" x14ac:dyDescent="0.3">
      <c r="K831" s="1"/>
    </row>
    <row r="832" spans="11:11" ht="14.25" customHeight="1" x14ac:dyDescent="0.3">
      <c r="K832" s="1"/>
    </row>
    <row r="833" spans="11:11" ht="14.25" customHeight="1" x14ac:dyDescent="0.3">
      <c r="K833" s="1"/>
    </row>
    <row r="834" spans="11:11" ht="14.25" customHeight="1" x14ac:dyDescent="0.3">
      <c r="K834" s="1"/>
    </row>
    <row r="835" spans="11:11" ht="14.25" customHeight="1" x14ac:dyDescent="0.3">
      <c r="K835" s="1"/>
    </row>
    <row r="836" spans="11:11" ht="14.25" customHeight="1" x14ac:dyDescent="0.3">
      <c r="K836" s="1"/>
    </row>
    <row r="837" spans="11:11" ht="14.25" customHeight="1" x14ac:dyDescent="0.3">
      <c r="K837" s="1"/>
    </row>
    <row r="838" spans="11:11" ht="14.25" customHeight="1" x14ac:dyDescent="0.3">
      <c r="K838" s="1"/>
    </row>
    <row r="839" spans="11:11" ht="14.25" customHeight="1" x14ac:dyDescent="0.3">
      <c r="K839" s="1"/>
    </row>
    <row r="840" spans="11:11" ht="14.25" customHeight="1" x14ac:dyDescent="0.3">
      <c r="K840" s="1"/>
    </row>
    <row r="841" spans="11:11" ht="14.25" customHeight="1" x14ac:dyDescent="0.3">
      <c r="K841" s="1"/>
    </row>
    <row r="842" spans="11:11" ht="14.25" customHeight="1" x14ac:dyDescent="0.3">
      <c r="K842" s="1"/>
    </row>
    <row r="843" spans="11:11" ht="14.25" customHeight="1" x14ac:dyDescent="0.3">
      <c r="K843" s="1"/>
    </row>
    <row r="844" spans="11:11" ht="14.25" customHeight="1" x14ac:dyDescent="0.3">
      <c r="K844" s="1"/>
    </row>
    <row r="845" spans="11:11" ht="14.25" customHeight="1" x14ac:dyDescent="0.3">
      <c r="K845" s="1"/>
    </row>
    <row r="846" spans="11:11" ht="14.25" customHeight="1" x14ac:dyDescent="0.3">
      <c r="K846" s="1"/>
    </row>
    <row r="847" spans="11:11" ht="14.25" customHeight="1" x14ac:dyDescent="0.3">
      <c r="K847" s="1"/>
    </row>
    <row r="848" spans="11:11" ht="14.25" customHeight="1" x14ac:dyDescent="0.3">
      <c r="K848" s="1"/>
    </row>
    <row r="849" spans="11:11" ht="14.25" customHeight="1" x14ac:dyDescent="0.3">
      <c r="K849" s="1"/>
    </row>
    <row r="850" spans="11:11" ht="14.25" customHeight="1" x14ac:dyDescent="0.3">
      <c r="K850" s="1"/>
    </row>
    <row r="851" spans="11:11" ht="14.25" customHeight="1" x14ac:dyDescent="0.3">
      <c r="K851" s="1"/>
    </row>
    <row r="852" spans="11:11" ht="14.25" customHeight="1" x14ac:dyDescent="0.3">
      <c r="K852" s="1"/>
    </row>
    <row r="853" spans="11:11" ht="14.25" customHeight="1" x14ac:dyDescent="0.3">
      <c r="K853" s="1"/>
    </row>
    <row r="854" spans="11:11" ht="14.25" customHeight="1" x14ac:dyDescent="0.3">
      <c r="K854" s="1"/>
    </row>
    <row r="855" spans="11:11" ht="14.25" customHeight="1" x14ac:dyDescent="0.3">
      <c r="K855" s="1"/>
    </row>
    <row r="856" spans="11:11" ht="14.25" customHeight="1" x14ac:dyDescent="0.3">
      <c r="K856" s="1"/>
    </row>
    <row r="857" spans="11:11" ht="14.25" customHeight="1" x14ac:dyDescent="0.3">
      <c r="K857" s="1"/>
    </row>
    <row r="858" spans="11:11" ht="14.25" customHeight="1" x14ac:dyDescent="0.3">
      <c r="K858" s="1"/>
    </row>
    <row r="859" spans="11:11" ht="14.25" customHeight="1" x14ac:dyDescent="0.3">
      <c r="K859" s="1"/>
    </row>
    <row r="860" spans="11:11" ht="14.25" customHeight="1" x14ac:dyDescent="0.3">
      <c r="K860" s="1"/>
    </row>
    <row r="861" spans="11:11" ht="14.25" customHeight="1" x14ac:dyDescent="0.3">
      <c r="K861" s="1"/>
    </row>
    <row r="862" spans="11:11" ht="14.25" customHeight="1" x14ac:dyDescent="0.3">
      <c r="K862" s="1"/>
    </row>
    <row r="863" spans="11:11" ht="14.25" customHeight="1" x14ac:dyDescent="0.3">
      <c r="K863" s="1"/>
    </row>
    <row r="864" spans="11:11" ht="14.25" customHeight="1" x14ac:dyDescent="0.3">
      <c r="K864" s="1"/>
    </row>
    <row r="865" spans="11:11" ht="14.25" customHeight="1" x14ac:dyDescent="0.3">
      <c r="K865" s="1"/>
    </row>
    <row r="866" spans="11:11" ht="14.25" customHeight="1" x14ac:dyDescent="0.3">
      <c r="K866" s="1"/>
    </row>
    <row r="867" spans="11:11" ht="14.25" customHeight="1" x14ac:dyDescent="0.3">
      <c r="K867" s="1"/>
    </row>
    <row r="868" spans="11:11" ht="14.25" customHeight="1" x14ac:dyDescent="0.3">
      <c r="K868" s="1"/>
    </row>
    <row r="869" spans="11:11" ht="14.25" customHeight="1" x14ac:dyDescent="0.3">
      <c r="K869" s="1"/>
    </row>
    <row r="870" spans="11:11" ht="14.25" customHeight="1" x14ac:dyDescent="0.3">
      <c r="K870" s="1"/>
    </row>
    <row r="871" spans="11:11" ht="14.25" customHeight="1" x14ac:dyDescent="0.3">
      <c r="K871" s="1"/>
    </row>
    <row r="872" spans="11:11" ht="14.25" customHeight="1" x14ac:dyDescent="0.3">
      <c r="K872" s="1"/>
    </row>
    <row r="873" spans="11:11" ht="14.25" customHeight="1" x14ac:dyDescent="0.3">
      <c r="K873" s="1"/>
    </row>
    <row r="874" spans="11:11" ht="14.25" customHeight="1" x14ac:dyDescent="0.3">
      <c r="K874" s="1"/>
    </row>
    <row r="875" spans="11:11" ht="14.25" customHeight="1" x14ac:dyDescent="0.3">
      <c r="K875" s="1"/>
    </row>
    <row r="876" spans="11:11" ht="14.25" customHeight="1" x14ac:dyDescent="0.3">
      <c r="K876" s="1"/>
    </row>
    <row r="877" spans="11:11" ht="14.25" customHeight="1" x14ac:dyDescent="0.3">
      <c r="K877" s="1"/>
    </row>
    <row r="878" spans="11:11" ht="14.25" customHeight="1" x14ac:dyDescent="0.3">
      <c r="K878" s="1"/>
    </row>
    <row r="879" spans="11:11" ht="14.25" customHeight="1" x14ac:dyDescent="0.3">
      <c r="K879" s="1"/>
    </row>
    <row r="880" spans="11:11" ht="14.25" customHeight="1" x14ac:dyDescent="0.3">
      <c r="K880" s="1"/>
    </row>
    <row r="881" spans="11:11" ht="14.25" customHeight="1" x14ac:dyDescent="0.3">
      <c r="K881" s="1"/>
    </row>
    <row r="882" spans="11:11" ht="14.25" customHeight="1" x14ac:dyDescent="0.3">
      <c r="K882" s="1"/>
    </row>
    <row r="883" spans="11:11" ht="14.25" customHeight="1" x14ac:dyDescent="0.3">
      <c r="K883" s="1"/>
    </row>
    <row r="884" spans="11:11" ht="14.25" customHeight="1" x14ac:dyDescent="0.3">
      <c r="K884" s="1"/>
    </row>
    <row r="885" spans="11:11" ht="14.25" customHeight="1" x14ac:dyDescent="0.3">
      <c r="K885" s="1"/>
    </row>
    <row r="886" spans="11:11" ht="14.25" customHeight="1" x14ac:dyDescent="0.3">
      <c r="K886" s="1"/>
    </row>
    <row r="887" spans="11:11" ht="14.25" customHeight="1" x14ac:dyDescent="0.3">
      <c r="K887" s="1"/>
    </row>
    <row r="888" spans="11:11" ht="14.25" customHeight="1" x14ac:dyDescent="0.3">
      <c r="K888" s="1"/>
    </row>
    <row r="889" spans="11:11" ht="14.25" customHeight="1" x14ac:dyDescent="0.3">
      <c r="K889" s="1"/>
    </row>
    <row r="890" spans="11:11" ht="14.25" customHeight="1" x14ac:dyDescent="0.3">
      <c r="K890" s="1"/>
    </row>
    <row r="891" spans="11:11" ht="14.25" customHeight="1" x14ac:dyDescent="0.3">
      <c r="K891" s="1"/>
    </row>
    <row r="892" spans="11:11" ht="14.25" customHeight="1" x14ac:dyDescent="0.3">
      <c r="K892" s="1"/>
    </row>
    <row r="893" spans="11:11" ht="14.25" customHeight="1" x14ac:dyDescent="0.3">
      <c r="K893" s="1"/>
    </row>
    <row r="894" spans="11:11" ht="14.25" customHeight="1" x14ac:dyDescent="0.3">
      <c r="K894" s="1"/>
    </row>
    <row r="895" spans="11:11" ht="14.25" customHeight="1" x14ac:dyDescent="0.3">
      <c r="K895" s="1"/>
    </row>
    <row r="896" spans="11:11" ht="14.25" customHeight="1" x14ac:dyDescent="0.3">
      <c r="K896" s="1"/>
    </row>
    <row r="897" spans="11:11" ht="14.25" customHeight="1" x14ac:dyDescent="0.3">
      <c r="K897" s="1"/>
    </row>
    <row r="898" spans="11:11" ht="14.25" customHeight="1" x14ac:dyDescent="0.3">
      <c r="K898" s="1"/>
    </row>
    <row r="899" spans="11:11" ht="14.25" customHeight="1" x14ac:dyDescent="0.3">
      <c r="K899" s="1"/>
    </row>
    <row r="900" spans="11:11" ht="14.25" customHeight="1" x14ac:dyDescent="0.3">
      <c r="K900" s="1"/>
    </row>
    <row r="901" spans="11:11" ht="14.25" customHeight="1" x14ac:dyDescent="0.3">
      <c r="K901" s="1"/>
    </row>
    <row r="902" spans="11:11" ht="14.25" customHeight="1" x14ac:dyDescent="0.3">
      <c r="K902" s="1"/>
    </row>
    <row r="903" spans="11:11" ht="14.25" customHeight="1" x14ac:dyDescent="0.3">
      <c r="K903" s="1"/>
    </row>
    <row r="904" spans="11:11" ht="14.25" customHeight="1" x14ac:dyDescent="0.3">
      <c r="K904" s="1"/>
    </row>
    <row r="905" spans="11:11" ht="14.25" customHeight="1" x14ac:dyDescent="0.3">
      <c r="K905" s="1"/>
    </row>
    <row r="906" spans="11:11" ht="14.25" customHeight="1" x14ac:dyDescent="0.3">
      <c r="K906" s="1"/>
    </row>
    <row r="907" spans="11:11" ht="14.25" customHeight="1" x14ac:dyDescent="0.3">
      <c r="K907" s="1"/>
    </row>
    <row r="908" spans="11:11" ht="14.25" customHeight="1" x14ac:dyDescent="0.3">
      <c r="K908" s="1"/>
    </row>
    <row r="909" spans="11:11" ht="14.25" customHeight="1" x14ac:dyDescent="0.3">
      <c r="K909" s="1"/>
    </row>
    <row r="910" spans="11:11" ht="14.25" customHeight="1" x14ac:dyDescent="0.3">
      <c r="K910" s="1"/>
    </row>
    <row r="911" spans="11:11" ht="14.25" customHeight="1" x14ac:dyDescent="0.3">
      <c r="K911" s="1"/>
    </row>
    <row r="912" spans="11:11" ht="14.25" customHeight="1" x14ac:dyDescent="0.3">
      <c r="K912" s="1"/>
    </row>
    <row r="913" spans="11:11" ht="14.25" customHeight="1" x14ac:dyDescent="0.3">
      <c r="K913" s="1"/>
    </row>
    <row r="914" spans="11:11" ht="14.25" customHeight="1" x14ac:dyDescent="0.3">
      <c r="K914" s="1"/>
    </row>
    <row r="915" spans="11:11" ht="14.25" customHeight="1" x14ac:dyDescent="0.3">
      <c r="K915" s="1"/>
    </row>
    <row r="916" spans="11:11" ht="14.25" customHeight="1" x14ac:dyDescent="0.3">
      <c r="K916" s="1"/>
    </row>
    <row r="917" spans="11:11" ht="14.25" customHeight="1" x14ac:dyDescent="0.3">
      <c r="K917" s="1"/>
    </row>
    <row r="918" spans="11:11" ht="14.25" customHeight="1" x14ac:dyDescent="0.3">
      <c r="K918" s="1"/>
    </row>
    <row r="919" spans="11:11" ht="14.25" customHeight="1" x14ac:dyDescent="0.3">
      <c r="K919" s="1"/>
    </row>
    <row r="920" spans="11:11" ht="14.25" customHeight="1" x14ac:dyDescent="0.3">
      <c r="K920" s="1"/>
    </row>
    <row r="921" spans="11:11" ht="14.25" customHeight="1" x14ac:dyDescent="0.3">
      <c r="K921" s="1"/>
    </row>
    <row r="922" spans="11:11" ht="14.25" customHeight="1" x14ac:dyDescent="0.3">
      <c r="K922" s="1"/>
    </row>
    <row r="923" spans="11:11" ht="14.25" customHeight="1" x14ac:dyDescent="0.3">
      <c r="K923" s="1"/>
    </row>
    <row r="924" spans="11:11" ht="14.25" customHeight="1" x14ac:dyDescent="0.3">
      <c r="K924" s="1"/>
    </row>
    <row r="925" spans="11:11" ht="14.25" customHeight="1" x14ac:dyDescent="0.3">
      <c r="K925" s="1"/>
    </row>
    <row r="926" spans="11:11" ht="14.25" customHeight="1" x14ac:dyDescent="0.3">
      <c r="K926" s="1"/>
    </row>
    <row r="927" spans="11:11" ht="14.25" customHeight="1" x14ac:dyDescent="0.3">
      <c r="K927" s="1"/>
    </row>
    <row r="928" spans="11:11" ht="14.25" customHeight="1" x14ac:dyDescent="0.3">
      <c r="K928" s="1"/>
    </row>
    <row r="929" spans="11:11" ht="14.25" customHeight="1" x14ac:dyDescent="0.3">
      <c r="K929" s="1"/>
    </row>
    <row r="930" spans="11:11" ht="14.25" customHeight="1" x14ac:dyDescent="0.3">
      <c r="K930" s="1"/>
    </row>
    <row r="931" spans="11:11" ht="14.25" customHeight="1" x14ac:dyDescent="0.3">
      <c r="K931" s="1"/>
    </row>
    <row r="932" spans="11:11" ht="14.25" customHeight="1" x14ac:dyDescent="0.3">
      <c r="K932" s="1"/>
    </row>
    <row r="933" spans="11:11" ht="14.25" customHeight="1" x14ac:dyDescent="0.3">
      <c r="K933" s="1"/>
    </row>
    <row r="934" spans="11:11" ht="14.25" customHeight="1" x14ac:dyDescent="0.3">
      <c r="K934" s="1"/>
    </row>
    <row r="935" spans="11:11" ht="14.25" customHeight="1" x14ac:dyDescent="0.3">
      <c r="K935" s="1"/>
    </row>
    <row r="936" spans="11:11" ht="14.25" customHeight="1" x14ac:dyDescent="0.3">
      <c r="K936" s="1"/>
    </row>
    <row r="937" spans="11:11" ht="14.25" customHeight="1" x14ac:dyDescent="0.3">
      <c r="K937" s="1"/>
    </row>
    <row r="938" spans="11:11" ht="14.25" customHeight="1" x14ac:dyDescent="0.3">
      <c r="K938" s="1"/>
    </row>
    <row r="939" spans="11:11" ht="14.25" customHeight="1" x14ac:dyDescent="0.3">
      <c r="K939" s="1"/>
    </row>
    <row r="940" spans="11:11" ht="14.25" customHeight="1" x14ac:dyDescent="0.3">
      <c r="K940" s="1"/>
    </row>
    <row r="941" spans="11:11" ht="14.25" customHeight="1" x14ac:dyDescent="0.3">
      <c r="K941" s="1"/>
    </row>
    <row r="942" spans="11:11" ht="14.25" customHeight="1" x14ac:dyDescent="0.3">
      <c r="K942" s="1"/>
    </row>
    <row r="943" spans="11:11" ht="14.25" customHeight="1" x14ac:dyDescent="0.3">
      <c r="K943" s="1"/>
    </row>
    <row r="944" spans="11:11" ht="14.25" customHeight="1" x14ac:dyDescent="0.3">
      <c r="K944" s="1"/>
    </row>
    <row r="945" spans="11:11" ht="14.25" customHeight="1" x14ac:dyDescent="0.3">
      <c r="K945" s="1"/>
    </row>
    <row r="946" spans="11:11" ht="14.25" customHeight="1" x14ac:dyDescent="0.3">
      <c r="K946" s="1"/>
    </row>
    <row r="947" spans="11:11" ht="14.25" customHeight="1" x14ac:dyDescent="0.3">
      <c r="K947" s="1"/>
    </row>
    <row r="948" spans="11:11" ht="14.25" customHeight="1" x14ac:dyDescent="0.3">
      <c r="K948" s="1"/>
    </row>
    <row r="949" spans="11:11" ht="14.25" customHeight="1" x14ac:dyDescent="0.3">
      <c r="K949" s="1"/>
    </row>
    <row r="950" spans="11:11" ht="14.25" customHeight="1" x14ac:dyDescent="0.3">
      <c r="K950" s="1"/>
    </row>
    <row r="951" spans="11:11" ht="14.25" customHeight="1" x14ac:dyDescent="0.3">
      <c r="K951" s="1"/>
    </row>
    <row r="952" spans="11:11" ht="14.25" customHeight="1" x14ac:dyDescent="0.3">
      <c r="K952" s="1"/>
    </row>
    <row r="953" spans="11:11" ht="14.25" customHeight="1" x14ac:dyDescent="0.3">
      <c r="K953" s="1"/>
    </row>
    <row r="954" spans="11:11" ht="14.25" customHeight="1" x14ac:dyDescent="0.3">
      <c r="K954" s="1"/>
    </row>
    <row r="955" spans="11:11" ht="14.25" customHeight="1" x14ac:dyDescent="0.3">
      <c r="K955" s="1"/>
    </row>
    <row r="956" spans="11:11" ht="14.25" customHeight="1" x14ac:dyDescent="0.3">
      <c r="K956" s="1"/>
    </row>
    <row r="957" spans="11:11" ht="14.25" customHeight="1" x14ac:dyDescent="0.3">
      <c r="K957" s="1"/>
    </row>
    <row r="958" spans="11:11" ht="14.25" customHeight="1" x14ac:dyDescent="0.3">
      <c r="K958" s="1"/>
    </row>
    <row r="959" spans="11:11" ht="14.25" customHeight="1" x14ac:dyDescent="0.3">
      <c r="K959" s="1"/>
    </row>
    <row r="960" spans="11:11" ht="14.25" customHeight="1" x14ac:dyDescent="0.3">
      <c r="K960" s="1"/>
    </row>
    <row r="961" spans="11:11" ht="14.25" customHeight="1" x14ac:dyDescent="0.3">
      <c r="K961" s="1"/>
    </row>
    <row r="962" spans="11:11" ht="14.25" customHeight="1" x14ac:dyDescent="0.3">
      <c r="K962" s="1"/>
    </row>
    <row r="963" spans="11:11" ht="14.25" customHeight="1" x14ac:dyDescent="0.3">
      <c r="K963" s="1"/>
    </row>
    <row r="964" spans="11:11" ht="14.25" customHeight="1" x14ac:dyDescent="0.3">
      <c r="K964" s="1"/>
    </row>
    <row r="965" spans="11:11" ht="14.25" customHeight="1" x14ac:dyDescent="0.3">
      <c r="K965" s="1"/>
    </row>
    <row r="966" spans="11:11" ht="14.25" customHeight="1" x14ac:dyDescent="0.3">
      <c r="K966" s="1"/>
    </row>
    <row r="967" spans="11:11" ht="14.25" customHeight="1" x14ac:dyDescent="0.3">
      <c r="K967" s="1"/>
    </row>
    <row r="968" spans="11:11" ht="14.25" customHeight="1" x14ac:dyDescent="0.3">
      <c r="K968" s="1"/>
    </row>
    <row r="969" spans="11:11" ht="14.25" customHeight="1" x14ac:dyDescent="0.3">
      <c r="K969" s="1"/>
    </row>
    <row r="970" spans="11:11" ht="14.25" customHeight="1" x14ac:dyDescent="0.3">
      <c r="K970" s="1"/>
    </row>
    <row r="971" spans="11:11" ht="14.25" customHeight="1" x14ac:dyDescent="0.3">
      <c r="K971" s="1"/>
    </row>
    <row r="972" spans="11:11" ht="14.25" customHeight="1" x14ac:dyDescent="0.3">
      <c r="K972" s="1"/>
    </row>
    <row r="973" spans="11:11" ht="14.25" customHeight="1" x14ac:dyDescent="0.3">
      <c r="K973" s="1"/>
    </row>
    <row r="974" spans="11:11" ht="14.25" customHeight="1" x14ac:dyDescent="0.3">
      <c r="K974" s="1"/>
    </row>
    <row r="975" spans="11:11" ht="14.25" customHeight="1" x14ac:dyDescent="0.3">
      <c r="K975" s="1"/>
    </row>
    <row r="976" spans="11:11" ht="14.25" customHeight="1" x14ac:dyDescent="0.3">
      <c r="K976" s="1"/>
    </row>
    <row r="977" spans="11:11" ht="14.25" customHeight="1" x14ac:dyDescent="0.3">
      <c r="K977" s="1"/>
    </row>
    <row r="978" spans="11:11" ht="14.25" customHeight="1" x14ac:dyDescent="0.3">
      <c r="K978" s="1"/>
    </row>
    <row r="979" spans="11:11" ht="14.25" customHeight="1" x14ac:dyDescent="0.3">
      <c r="K979" s="1"/>
    </row>
    <row r="980" spans="11:11" ht="14.25" customHeight="1" x14ac:dyDescent="0.3">
      <c r="K980" s="1"/>
    </row>
    <row r="981" spans="11:11" ht="14.25" customHeight="1" x14ac:dyDescent="0.3">
      <c r="K981" s="1"/>
    </row>
    <row r="982" spans="11:11" ht="14.25" customHeight="1" x14ac:dyDescent="0.3">
      <c r="K982" s="1"/>
    </row>
    <row r="983" spans="11:11" ht="14.25" customHeight="1" x14ac:dyDescent="0.3">
      <c r="K983" s="1"/>
    </row>
    <row r="984" spans="11:11" ht="14.25" customHeight="1" x14ac:dyDescent="0.3">
      <c r="K984" s="1"/>
    </row>
    <row r="985" spans="11:11" ht="14.25" customHeight="1" x14ac:dyDescent="0.3">
      <c r="K985" s="1"/>
    </row>
    <row r="986" spans="11:11" ht="14.25" customHeight="1" x14ac:dyDescent="0.3">
      <c r="K986" s="1"/>
    </row>
    <row r="987" spans="11:11" ht="14.25" customHeight="1" x14ac:dyDescent="0.3">
      <c r="K987" s="1"/>
    </row>
    <row r="988" spans="11:11" ht="14.25" customHeight="1" x14ac:dyDescent="0.3">
      <c r="K988" s="1"/>
    </row>
    <row r="989" spans="11:11" ht="14.25" customHeight="1" x14ac:dyDescent="0.3">
      <c r="K989" s="1"/>
    </row>
    <row r="990" spans="11:11" ht="14.25" customHeight="1" x14ac:dyDescent="0.3">
      <c r="K990" s="1"/>
    </row>
    <row r="991" spans="11:11" ht="14.25" customHeight="1" x14ac:dyDescent="0.3">
      <c r="K991" s="1"/>
    </row>
    <row r="992" spans="11:11" ht="14.25" customHeight="1" x14ac:dyDescent="0.3">
      <c r="K992" s="1"/>
    </row>
    <row r="993" spans="11:11" ht="14.25" customHeight="1" x14ac:dyDescent="0.3">
      <c r="K993" s="1"/>
    </row>
    <row r="994" spans="11:11" ht="14.25" customHeight="1" x14ac:dyDescent="0.3">
      <c r="K994" s="1"/>
    </row>
    <row r="995" spans="11:11" ht="14.25" customHeight="1" x14ac:dyDescent="0.3">
      <c r="K995" s="1"/>
    </row>
    <row r="996" spans="11:11" ht="14.25" customHeight="1" x14ac:dyDescent="0.3">
      <c r="K996" s="1"/>
    </row>
    <row r="997" spans="11:11" ht="14.25" customHeight="1" x14ac:dyDescent="0.3">
      <c r="K997" s="1"/>
    </row>
    <row r="998" spans="11:11" ht="14.25" customHeight="1" x14ac:dyDescent="0.3">
      <c r="K998" s="1"/>
    </row>
    <row r="999" spans="11:11" ht="14.25" customHeight="1" x14ac:dyDescent="0.3">
      <c r="K999" s="1"/>
    </row>
    <row r="1000" spans="11:11" ht="14.25" customHeight="1" x14ac:dyDescent="0.3">
      <c r="K1000" s="1"/>
    </row>
    <row r="1001" spans="11:11" ht="14.25" customHeight="1" x14ac:dyDescent="0.3">
      <c r="K1001" s="1"/>
    </row>
    <row r="1002" spans="11:11" ht="14.25" customHeight="1" x14ac:dyDescent="0.3">
      <c r="K1002" s="1"/>
    </row>
    <row r="1003" spans="11:11" ht="14.25" customHeight="1" x14ac:dyDescent="0.3">
      <c r="K1003" s="1"/>
    </row>
    <row r="1004" spans="11:11" ht="14.25" customHeight="1" x14ac:dyDescent="0.3">
      <c r="K1004" s="1"/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F645-16E9-4C42-ACB0-4376CEFD62CE}">
  <dimension ref="B4:H442"/>
  <sheetViews>
    <sheetView showGridLines="0" tabSelected="1" topLeftCell="A397" zoomScale="85" zoomScaleNormal="85" workbookViewId="0">
      <selection activeCell="G417" sqref="G417"/>
    </sheetView>
  </sheetViews>
  <sheetFormatPr defaultRowHeight="14.4" x14ac:dyDescent="0.3"/>
  <cols>
    <col min="1" max="1" width="8.44140625" customWidth="1"/>
    <col min="2" max="2" width="12.5546875" style="16" customWidth="1"/>
    <col min="3" max="3" width="11.5546875" style="16" customWidth="1"/>
    <col min="4" max="4" width="107.33203125" customWidth="1"/>
    <col min="5" max="5" width="15.5546875" style="14" customWidth="1"/>
    <col min="6" max="6" width="15.88671875" style="14" customWidth="1"/>
    <col min="7" max="7" width="16.6640625" style="14" customWidth="1"/>
    <col min="8" max="8" width="14.21875" customWidth="1"/>
  </cols>
  <sheetData>
    <row r="4" spans="2:7" x14ac:dyDescent="0.3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3">
      <c r="B5" s="15"/>
      <c r="C5" s="21"/>
      <c r="D5" s="22"/>
      <c r="E5" s="23"/>
      <c r="F5" s="23"/>
      <c r="G5" s="13"/>
    </row>
    <row r="6" spans="2:7" x14ac:dyDescent="0.3">
      <c r="B6" s="31"/>
      <c r="C6" s="31"/>
      <c r="D6" s="32"/>
      <c r="E6" s="33"/>
      <c r="F6" s="33">
        <f>E6*C6</f>
        <v>0</v>
      </c>
      <c r="G6" s="33"/>
    </row>
    <row r="7" spans="2:7" x14ac:dyDescent="0.3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3">
      <c r="B8" s="31"/>
      <c r="C8" s="31"/>
      <c r="D8" s="32"/>
      <c r="E8" s="33"/>
      <c r="F8" s="33">
        <f t="shared" si="0"/>
        <v>0</v>
      </c>
      <c r="G8" s="33"/>
    </row>
    <row r="9" spans="2:7" x14ac:dyDescent="0.3">
      <c r="B9" s="15"/>
      <c r="C9" s="15"/>
      <c r="D9" s="17"/>
      <c r="E9" s="13"/>
      <c r="F9" s="13">
        <f t="shared" si="0"/>
        <v>0</v>
      </c>
      <c r="G9" s="13"/>
    </row>
    <row r="10" spans="2:7" x14ac:dyDescent="0.3">
      <c r="B10" s="31"/>
      <c r="C10" s="31"/>
      <c r="D10" s="32"/>
      <c r="E10" s="33"/>
      <c r="F10" s="33">
        <f t="shared" si="0"/>
        <v>0</v>
      </c>
      <c r="G10" s="33"/>
    </row>
    <row r="11" spans="2:7" x14ac:dyDescent="0.3">
      <c r="B11" s="15"/>
      <c r="C11" s="21"/>
      <c r="D11" s="22"/>
      <c r="E11" s="23"/>
      <c r="F11" s="23">
        <f t="shared" si="0"/>
        <v>0</v>
      </c>
      <c r="G11" s="13"/>
    </row>
    <row r="12" spans="2:7" x14ac:dyDescent="0.3">
      <c r="B12" s="31"/>
      <c r="C12" s="31"/>
      <c r="D12" s="32"/>
      <c r="E12" s="33"/>
      <c r="F12" s="33">
        <f t="shared" si="0"/>
        <v>0</v>
      </c>
      <c r="G12" s="33"/>
    </row>
    <row r="13" spans="2:7" x14ac:dyDescent="0.3">
      <c r="B13" s="15"/>
      <c r="C13" s="15"/>
      <c r="D13" s="17"/>
      <c r="E13" s="13"/>
      <c r="F13" s="13">
        <f t="shared" si="0"/>
        <v>0</v>
      </c>
      <c r="G13" s="13"/>
    </row>
    <row r="14" spans="2:7" x14ac:dyDescent="0.3">
      <c r="B14" s="31"/>
      <c r="C14" s="31"/>
      <c r="D14" s="32"/>
      <c r="E14" s="33"/>
      <c r="F14" s="33">
        <f t="shared" si="0"/>
        <v>0</v>
      </c>
      <c r="G14" s="33"/>
    </row>
    <row r="15" spans="2:7" x14ac:dyDescent="0.3">
      <c r="B15" s="15"/>
      <c r="C15" s="15"/>
      <c r="D15" s="17"/>
      <c r="E15" s="13"/>
      <c r="F15" s="13">
        <f t="shared" si="0"/>
        <v>0</v>
      </c>
      <c r="G15" s="13"/>
    </row>
    <row r="16" spans="2:7" x14ac:dyDescent="0.3">
      <c r="B16" s="31"/>
      <c r="C16" s="31"/>
      <c r="D16" s="32"/>
      <c r="E16" s="33"/>
      <c r="F16" s="33">
        <f t="shared" si="0"/>
        <v>0</v>
      </c>
      <c r="G16" s="33"/>
    </row>
    <row r="17" spans="2:7" x14ac:dyDescent="0.3">
      <c r="B17" s="15"/>
      <c r="C17" s="21"/>
      <c r="D17" s="22"/>
      <c r="E17" s="23"/>
      <c r="F17" s="23">
        <f t="shared" si="0"/>
        <v>0</v>
      </c>
      <c r="G17" s="13"/>
    </row>
    <row r="18" spans="2:7" x14ac:dyDescent="0.3">
      <c r="B18" s="31"/>
      <c r="C18" s="31"/>
      <c r="D18" s="32"/>
      <c r="E18" s="33"/>
      <c r="F18" s="33">
        <f t="shared" si="0"/>
        <v>0</v>
      </c>
      <c r="G18" s="33"/>
    </row>
    <row r="19" spans="2:7" x14ac:dyDescent="0.3">
      <c r="B19" s="15"/>
      <c r="C19" s="15"/>
      <c r="D19" s="17"/>
      <c r="E19" s="13"/>
      <c r="F19" s="13">
        <f t="shared" si="0"/>
        <v>0</v>
      </c>
      <c r="G19" s="13"/>
    </row>
    <row r="20" spans="2:7" x14ac:dyDescent="0.3">
      <c r="B20" s="31"/>
      <c r="C20" s="31"/>
      <c r="D20" s="32"/>
      <c r="E20" s="33"/>
      <c r="F20" s="33">
        <f t="shared" si="0"/>
        <v>0</v>
      </c>
      <c r="G20" s="33"/>
    </row>
    <row r="21" spans="2:7" x14ac:dyDescent="0.3">
      <c r="B21" s="15"/>
      <c r="C21" s="15"/>
      <c r="D21" s="17"/>
      <c r="E21" s="13"/>
      <c r="F21" s="13">
        <f t="shared" si="0"/>
        <v>0</v>
      </c>
      <c r="G21" s="13"/>
    </row>
    <row r="22" spans="2:7" x14ac:dyDescent="0.3">
      <c r="B22" s="31"/>
      <c r="C22" s="31"/>
      <c r="D22" s="32"/>
      <c r="E22" s="33"/>
      <c r="F22" s="33">
        <f t="shared" si="0"/>
        <v>0</v>
      </c>
      <c r="G22" s="33"/>
    </row>
    <row r="23" spans="2:7" x14ac:dyDescent="0.3">
      <c r="B23" s="15"/>
      <c r="C23" s="21"/>
      <c r="D23" s="22"/>
      <c r="E23" s="23"/>
      <c r="F23" s="23">
        <f t="shared" si="0"/>
        <v>0</v>
      </c>
      <c r="G23" s="13"/>
    </row>
    <row r="24" spans="2:7" x14ac:dyDescent="0.3">
      <c r="B24" s="31"/>
      <c r="C24" s="31"/>
      <c r="D24" s="32"/>
      <c r="E24" s="33"/>
      <c r="F24" s="33">
        <f t="shared" si="0"/>
        <v>0</v>
      </c>
      <c r="G24" s="33"/>
    </row>
    <row r="25" spans="2:7" x14ac:dyDescent="0.3">
      <c r="B25" s="15"/>
      <c r="C25" s="15"/>
      <c r="D25" s="17"/>
      <c r="E25" s="13"/>
      <c r="F25" s="13">
        <f t="shared" si="0"/>
        <v>0</v>
      </c>
      <c r="G25" s="13"/>
    </row>
    <row r="26" spans="2:7" x14ac:dyDescent="0.3">
      <c r="B26" s="31"/>
      <c r="C26" s="31"/>
      <c r="D26" s="32"/>
      <c r="E26" s="33"/>
      <c r="F26" s="33">
        <f t="shared" si="0"/>
        <v>0</v>
      </c>
      <c r="G26" s="33"/>
    </row>
    <row r="27" spans="2:7" x14ac:dyDescent="0.3">
      <c r="B27" s="15"/>
      <c r="C27" s="15"/>
      <c r="D27" s="17"/>
      <c r="E27" s="13"/>
      <c r="F27" s="13">
        <f t="shared" si="0"/>
        <v>0</v>
      </c>
      <c r="G27" s="13"/>
    </row>
    <row r="28" spans="2:7" x14ac:dyDescent="0.3">
      <c r="B28" s="31"/>
      <c r="C28" s="31"/>
      <c r="D28" s="32"/>
      <c r="E28" s="33"/>
      <c r="F28" s="33">
        <f t="shared" si="0"/>
        <v>0</v>
      </c>
      <c r="G28" s="33"/>
    </row>
    <row r="29" spans="2:7" x14ac:dyDescent="0.3">
      <c r="B29" s="15"/>
      <c r="C29" s="21"/>
      <c r="D29" s="22"/>
      <c r="E29" s="23"/>
      <c r="F29" s="23">
        <f t="shared" si="0"/>
        <v>0</v>
      </c>
      <c r="G29" s="13"/>
    </row>
    <row r="30" spans="2:7" x14ac:dyDescent="0.3">
      <c r="B30" s="31"/>
      <c r="C30" s="31"/>
      <c r="D30" s="32"/>
      <c r="E30" s="33"/>
      <c r="F30" s="33">
        <f t="shared" si="0"/>
        <v>0</v>
      </c>
      <c r="G30" s="33"/>
    </row>
    <row r="31" spans="2:7" x14ac:dyDescent="0.3">
      <c r="B31" s="15"/>
      <c r="C31" s="15"/>
      <c r="D31" s="17"/>
      <c r="E31" s="13"/>
      <c r="F31" s="13">
        <f t="shared" si="0"/>
        <v>0</v>
      </c>
      <c r="G31" s="13"/>
    </row>
    <row r="32" spans="2:7" x14ac:dyDescent="0.3">
      <c r="B32" s="31"/>
      <c r="C32" s="31"/>
      <c r="D32" s="32"/>
      <c r="E32" s="33"/>
      <c r="F32" s="33">
        <f t="shared" si="0"/>
        <v>0</v>
      </c>
      <c r="G32" s="33"/>
    </row>
    <row r="33" spans="2:7" x14ac:dyDescent="0.3">
      <c r="B33" s="15"/>
      <c r="C33" s="15"/>
      <c r="D33" s="17"/>
      <c r="E33" s="13"/>
      <c r="F33" s="13">
        <f t="shared" si="0"/>
        <v>0</v>
      </c>
      <c r="G33" s="13"/>
    </row>
    <row r="34" spans="2:7" x14ac:dyDescent="0.3">
      <c r="B34" s="31"/>
      <c r="C34" s="31"/>
      <c r="D34" s="32"/>
      <c r="E34" s="33"/>
      <c r="F34" s="33">
        <f t="shared" si="0"/>
        <v>0</v>
      </c>
      <c r="G34" s="33"/>
    </row>
    <row r="35" spans="2:7" x14ac:dyDescent="0.3">
      <c r="B35" s="15"/>
      <c r="C35" s="21"/>
      <c r="D35" s="22"/>
      <c r="E35" s="23"/>
      <c r="F35" s="23">
        <f t="shared" si="0"/>
        <v>0</v>
      </c>
      <c r="G35" s="13"/>
    </row>
    <row r="36" spans="2:7" x14ac:dyDescent="0.3">
      <c r="B36" s="31"/>
      <c r="C36" s="31"/>
      <c r="D36" s="32"/>
      <c r="E36" s="33"/>
      <c r="F36" s="33">
        <f t="shared" si="0"/>
        <v>0</v>
      </c>
      <c r="G36" s="33"/>
    </row>
    <row r="37" spans="2:7" x14ac:dyDescent="0.3">
      <c r="B37" s="15"/>
      <c r="C37" s="15"/>
      <c r="D37" s="17"/>
      <c r="E37" s="13"/>
      <c r="F37" s="13">
        <f t="shared" si="0"/>
        <v>0</v>
      </c>
      <c r="G37" s="13"/>
    </row>
    <row r="38" spans="2:7" x14ac:dyDescent="0.3">
      <c r="B38" s="31"/>
      <c r="C38" s="31"/>
      <c r="D38" s="32"/>
      <c r="E38" s="33"/>
      <c r="F38" s="33">
        <f t="shared" si="0"/>
        <v>0</v>
      </c>
      <c r="G38" s="33"/>
    </row>
    <row r="39" spans="2:7" x14ac:dyDescent="0.3">
      <c r="B39" s="15"/>
      <c r="C39" s="15"/>
      <c r="D39" s="17"/>
      <c r="E39" s="13"/>
      <c r="F39" s="13">
        <f t="shared" si="0"/>
        <v>0</v>
      </c>
      <c r="G39" s="13"/>
    </row>
    <row r="40" spans="2:7" x14ac:dyDescent="0.3">
      <c r="B40" s="31"/>
      <c r="C40" s="31"/>
      <c r="D40" s="32"/>
      <c r="E40" s="33"/>
      <c r="F40" s="33">
        <f t="shared" si="0"/>
        <v>0</v>
      </c>
      <c r="G40" s="33"/>
    </row>
    <row r="41" spans="2:7" x14ac:dyDescent="0.3">
      <c r="B41" s="15"/>
      <c r="C41" s="21"/>
      <c r="D41" s="22"/>
      <c r="E41" s="23"/>
      <c r="F41" s="23">
        <f t="shared" si="0"/>
        <v>0</v>
      </c>
      <c r="G41" s="13"/>
    </row>
    <row r="42" spans="2:7" x14ac:dyDescent="0.3">
      <c r="B42" s="31"/>
      <c r="C42" s="31"/>
      <c r="D42" s="32"/>
      <c r="E42" s="33"/>
      <c r="F42" s="33">
        <f t="shared" si="0"/>
        <v>0</v>
      </c>
      <c r="G42" s="33"/>
    </row>
    <row r="43" spans="2:7" x14ac:dyDescent="0.3">
      <c r="B43" s="15"/>
      <c r="C43" s="15"/>
      <c r="D43" s="17"/>
      <c r="E43" s="13"/>
      <c r="F43" s="13">
        <f t="shared" si="0"/>
        <v>0</v>
      </c>
      <c r="G43" s="13"/>
    </row>
    <row r="44" spans="2:7" x14ac:dyDescent="0.3">
      <c r="B44" s="31"/>
      <c r="C44" s="31"/>
      <c r="D44" s="32"/>
      <c r="E44" s="33"/>
      <c r="F44" s="33">
        <f t="shared" si="0"/>
        <v>0</v>
      </c>
      <c r="G44" s="33"/>
    </row>
    <row r="45" spans="2:7" x14ac:dyDescent="0.3">
      <c r="B45" s="15"/>
      <c r="C45" s="15"/>
      <c r="D45" s="17"/>
      <c r="E45" s="13"/>
      <c r="F45" s="13">
        <f t="shared" si="0"/>
        <v>0</v>
      </c>
      <c r="G45" s="13"/>
    </row>
    <row r="46" spans="2:7" x14ac:dyDescent="0.3">
      <c r="B46" s="31"/>
      <c r="C46" s="31"/>
      <c r="D46" s="32"/>
      <c r="E46" s="33"/>
      <c r="F46" s="33">
        <f t="shared" si="0"/>
        <v>0</v>
      </c>
      <c r="G46" s="33"/>
    </row>
    <row r="47" spans="2:7" x14ac:dyDescent="0.3">
      <c r="B47" s="15"/>
      <c r="C47" s="21"/>
      <c r="D47" s="22"/>
      <c r="E47" s="23"/>
      <c r="F47" s="23">
        <f t="shared" si="0"/>
        <v>0</v>
      </c>
      <c r="G47" s="13"/>
    </row>
    <row r="48" spans="2:7" x14ac:dyDescent="0.3">
      <c r="B48" s="31"/>
      <c r="C48" s="31"/>
      <c r="D48" s="32"/>
      <c r="E48" s="33"/>
      <c r="F48" s="33">
        <f t="shared" si="0"/>
        <v>0</v>
      </c>
      <c r="G48" s="33"/>
    </row>
    <row r="49" spans="2:7" x14ac:dyDescent="0.3">
      <c r="B49" s="15"/>
      <c r="C49" s="15"/>
      <c r="D49" s="17"/>
      <c r="E49" s="13"/>
      <c r="F49" s="13">
        <f t="shared" si="0"/>
        <v>0</v>
      </c>
      <c r="G49" s="13"/>
    </row>
    <row r="50" spans="2:7" x14ac:dyDescent="0.3">
      <c r="B50" s="31"/>
      <c r="C50" s="31"/>
      <c r="D50" s="32"/>
      <c r="E50" s="33"/>
      <c r="F50" s="33">
        <f t="shared" si="0"/>
        <v>0</v>
      </c>
      <c r="G50" s="33"/>
    </row>
    <row r="51" spans="2:7" x14ac:dyDescent="0.3">
      <c r="B51" s="15"/>
      <c r="C51" s="15"/>
      <c r="D51" s="17"/>
      <c r="E51" s="13"/>
      <c r="F51" s="13">
        <f t="shared" si="0"/>
        <v>0</v>
      </c>
      <c r="G51" s="13"/>
    </row>
    <row r="52" spans="2:7" x14ac:dyDescent="0.3">
      <c r="B52" s="31"/>
      <c r="C52" s="31"/>
      <c r="D52" s="32"/>
      <c r="E52" s="33"/>
      <c r="F52" s="33">
        <f t="shared" si="0"/>
        <v>0</v>
      </c>
      <c r="G52" s="33"/>
    </row>
    <row r="53" spans="2:7" x14ac:dyDescent="0.3">
      <c r="B53" s="15"/>
      <c r="C53" s="21"/>
      <c r="D53" s="22"/>
      <c r="E53" s="23"/>
      <c r="F53" s="23">
        <f t="shared" si="0"/>
        <v>0</v>
      </c>
      <c r="G53" s="13"/>
    </row>
    <row r="54" spans="2:7" x14ac:dyDescent="0.3">
      <c r="B54" s="31"/>
      <c r="C54" s="31"/>
      <c r="D54" s="32"/>
      <c r="E54" s="33"/>
      <c r="F54" s="33">
        <f t="shared" si="0"/>
        <v>0</v>
      </c>
      <c r="G54" s="33"/>
    </row>
    <row r="55" spans="2:7" x14ac:dyDescent="0.3">
      <c r="B55" s="15"/>
      <c r="C55" s="15"/>
      <c r="D55" s="17"/>
      <c r="E55" s="13"/>
      <c r="F55" s="13">
        <f t="shared" si="0"/>
        <v>0</v>
      </c>
      <c r="G55" s="13"/>
    </row>
    <row r="56" spans="2:7" x14ac:dyDescent="0.3">
      <c r="B56" s="31"/>
      <c r="C56" s="31"/>
      <c r="D56" s="32"/>
      <c r="E56" s="33"/>
      <c r="F56" s="33">
        <f t="shared" si="0"/>
        <v>0</v>
      </c>
      <c r="G56" s="33"/>
    </row>
    <row r="57" spans="2:7" x14ac:dyDescent="0.3">
      <c r="B57" s="15"/>
      <c r="C57" s="15"/>
      <c r="D57" s="17"/>
      <c r="E57" s="13"/>
      <c r="F57" s="13">
        <f t="shared" si="0"/>
        <v>0</v>
      </c>
      <c r="G57" s="13"/>
    </row>
    <row r="58" spans="2:7" x14ac:dyDescent="0.3">
      <c r="B58" s="31"/>
      <c r="C58" s="31"/>
      <c r="D58" s="32"/>
      <c r="E58" s="33"/>
      <c r="F58" s="33">
        <f t="shared" si="0"/>
        <v>0</v>
      </c>
      <c r="G58" s="33"/>
    </row>
    <row r="59" spans="2:7" x14ac:dyDescent="0.3">
      <c r="B59" s="15"/>
      <c r="C59" s="21"/>
      <c r="D59" s="22"/>
      <c r="E59" s="23"/>
      <c r="F59" s="23">
        <f t="shared" si="0"/>
        <v>0</v>
      </c>
      <c r="G59" s="13"/>
    </row>
    <row r="60" spans="2:7" x14ac:dyDescent="0.3">
      <c r="B60" s="31"/>
      <c r="C60" s="31"/>
      <c r="D60" s="32"/>
      <c r="E60" s="33"/>
      <c r="F60" s="33">
        <f t="shared" si="0"/>
        <v>0</v>
      </c>
      <c r="G60" s="33"/>
    </row>
    <row r="61" spans="2:7" x14ac:dyDescent="0.3">
      <c r="B61" s="15"/>
      <c r="C61" s="15"/>
      <c r="D61" s="17"/>
      <c r="E61" s="13"/>
      <c r="F61" s="13">
        <f t="shared" si="0"/>
        <v>0</v>
      </c>
      <c r="G61" s="13"/>
    </row>
    <row r="62" spans="2:7" x14ac:dyDescent="0.3">
      <c r="B62" s="31"/>
      <c r="C62" s="31"/>
      <c r="D62" s="32"/>
      <c r="E62" s="33"/>
      <c r="F62" s="33">
        <f t="shared" si="0"/>
        <v>0</v>
      </c>
      <c r="G62" s="33"/>
    </row>
    <row r="63" spans="2:7" x14ac:dyDescent="0.3">
      <c r="B63" s="15"/>
      <c r="C63" s="15"/>
      <c r="D63" s="17"/>
      <c r="E63" s="13"/>
      <c r="F63" s="13">
        <f t="shared" si="0"/>
        <v>0</v>
      </c>
      <c r="G63" s="13"/>
    </row>
    <row r="64" spans="2:7" x14ac:dyDescent="0.3">
      <c r="B64" s="31"/>
      <c r="C64" s="31"/>
      <c r="D64" s="32"/>
      <c r="E64" s="33"/>
      <c r="F64" s="33">
        <f t="shared" si="0"/>
        <v>0</v>
      </c>
      <c r="G64" s="33"/>
    </row>
    <row r="65" spans="2:7" x14ac:dyDescent="0.3">
      <c r="B65" s="15"/>
      <c r="C65" s="21"/>
      <c r="D65" s="22"/>
      <c r="E65" s="23"/>
      <c r="F65" s="23">
        <f t="shared" si="0"/>
        <v>0</v>
      </c>
      <c r="G65" s="13"/>
    </row>
    <row r="66" spans="2:7" x14ac:dyDescent="0.3">
      <c r="B66" s="31"/>
      <c r="C66" s="31"/>
      <c r="D66" s="32"/>
      <c r="E66" s="33"/>
      <c r="F66" s="33">
        <f t="shared" si="0"/>
        <v>0</v>
      </c>
      <c r="G66" s="33"/>
    </row>
    <row r="67" spans="2:7" x14ac:dyDescent="0.3">
      <c r="B67" s="15"/>
      <c r="C67" s="15"/>
      <c r="D67" s="17"/>
      <c r="E67" s="13"/>
      <c r="F67" s="13">
        <f t="shared" si="0"/>
        <v>0</v>
      </c>
      <c r="G67" s="13"/>
    </row>
    <row r="68" spans="2:7" x14ac:dyDescent="0.3">
      <c r="B68" s="31"/>
      <c r="C68" s="31"/>
      <c r="D68" s="32"/>
      <c r="E68" s="33"/>
      <c r="F68" s="33">
        <f t="shared" si="0"/>
        <v>0</v>
      </c>
      <c r="G68" s="33"/>
    </row>
    <row r="69" spans="2:7" x14ac:dyDescent="0.3">
      <c r="B69" s="15"/>
      <c r="C69" s="15"/>
      <c r="D69" s="17"/>
      <c r="E69" s="13"/>
      <c r="F69" s="13">
        <f t="shared" si="0"/>
        <v>0</v>
      </c>
      <c r="G69" s="13"/>
    </row>
    <row r="70" spans="2:7" x14ac:dyDescent="0.3">
      <c r="B70" s="31"/>
      <c r="C70" s="31"/>
      <c r="D70" s="32"/>
      <c r="E70" s="33"/>
      <c r="F70" s="33">
        <f t="shared" si="0"/>
        <v>0</v>
      </c>
      <c r="G70" s="33"/>
    </row>
    <row r="71" spans="2:7" x14ac:dyDescent="0.3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3">
      <c r="B72" s="31"/>
      <c r="C72" s="31"/>
      <c r="D72" s="32"/>
      <c r="E72" s="33"/>
      <c r="F72" s="33">
        <f t="shared" si="1"/>
        <v>0</v>
      </c>
      <c r="G72" s="33"/>
    </row>
    <row r="73" spans="2:7" x14ac:dyDescent="0.3">
      <c r="B73" s="15"/>
      <c r="C73" s="15"/>
      <c r="D73" s="17"/>
      <c r="E73" s="13"/>
      <c r="F73" s="13">
        <f t="shared" si="1"/>
        <v>0</v>
      </c>
      <c r="G73" s="13"/>
    </row>
    <row r="74" spans="2:7" x14ac:dyDescent="0.3">
      <c r="B74" s="31"/>
      <c r="C74" s="31"/>
      <c r="D74" s="32"/>
      <c r="E74" s="33"/>
      <c r="F74" s="33">
        <f t="shared" si="1"/>
        <v>0</v>
      </c>
      <c r="G74" s="33"/>
    </row>
    <row r="75" spans="2:7" x14ac:dyDescent="0.3">
      <c r="B75" s="15"/>
      <c r="C75" s="15"/>
      <c r="D75" s="17"/>
      <c r="E75" s="13"/>
      <c r="F75" s="13">
        <f t="shared" si="1"/>
        <v>0</v>
      </c>
      <c r="G75" s="13"/>
    </row>
    <row r="76" spans="2:7" x14ac:dyDescent="0.3">
      <c r="B76" s="31"/>
      <c r="C76" s="31"/>
      <c r="D76" s="32"/>
      <c r="E76" s="33"/>
      <c r="F76" s="33">
        <f t="shared" si="1"/>
        <v>0</v>
      </c>
      <c r="G76" s="33"/>
    </row>
    <row r="77" spans="2:7" x14ac:dyDescent="0.3">
      <c r="B77" s="15"/>
      <c r="C77" s="21"/>
      <c r="D77" s="22"/>
      <c r="E77" s="23"/>
      <c r="F77" s="23">
        <f t="shared" si="1"/>
        <v>0</v>
      </c>
      <c r="G77" s="13"/>
    </row>
    <row r="78" spans="2:7" x14ac:dyDescent="0.3">
      <c r="B78" s="31"/>
      <c r="C78" s="31"/>
      <c r="D78" s="32"/>
      <c r="E78" s="33"/>
      <c r="F78" s="33">
        <f t="shared" si="1"/>
        <v>0</v>
      </c>
      <c r="G78" s="33"/>
    </row>
    <row r="79" spans="2:7" x14ac:dyDescent="0.3">
      <c r="B79" s="15"/>
      <c r="C79" s="15"/>
      <c r="D79" s="17"/>
      <c r="E79" s="13"/>
      <c r="F79" s="13">
        <f t="shared" si="1"/>
        <v>0</v>
      </c>
      <c r="G79" s="13"/>
    </row>
    <row r="80" spans="2:7" x14ac:dyDescent="0.3">
      <c r="B80" s="31"/>
      <c r="C80" s="31"/>
      <c r="D80" s="32"/>
      <c r="E80" s="33"/>
      <c r="F80" s="33">
        <f t="shared" si="1"/>
        <v>0</v>
      </c>
      <c r="G80" s="33"/>
    </row>
    <row r="81" spans="2:7" x14ac:dyDescent="0.3">
      <c r="B81" s="15"/>
      <c r="C81" s="15"/>
      <c r="D81" s="17"/>
      <c r="E81" s="13"/>
      <c r="F81" s="13">
        <f t="shared" si="1"/>
        <v>0</v>
      </c>
      <c r="G81" s="13"/>
    </row>
    <row r="82" spans="2:7" x14ac:dyDescent="0.3">
      <c r="B82" s="31"/>
      <c r="C82" s="31"/>
      <c r="D82" s="32"/>
      <c r="E82" s="33"/>
      <c r="F82" s="33">
        <f t="shared" si="1"/>
        <v>0</v>
      </c>
      <c r="G82" s="33"/>
    </row>
    <row r="83" spans="2:7" x14ac:dyDescent="0.3">
      <c r="B83" s="15"/>
      <c r="C83" s="21"/>
      <c r="D83" s="22"/>
      <c r="E83" s="23"/>
      <c r="F83" s="23">
        <f t="shared" si="1"/>
        <v>0</v>
      </c>
      <c r="G83" s="13"/>
    </row>
    <row r="84" spans="2:7" x14ac:dyDescent="0.3">
      <c r="B84" s="31"/>
      <c r="C84" s="31"/>
      <c r="D84" s="32"/>
      <c r="E84" s="33"/>
      <c r="F84" s="33">
        <f t="shared" si="1"/>
        <v>0</v>
      </c>
      <c r="G84" s="33"/>
    </row>
    <row r="85" spans="2:7" x14ac:dyDescent="0.3">
      <c r="B85" s="15"/>
      <c r="C85" s="15"/>
      <c r="D85" s="17"/>
      <c r="E85" s="13"/>
      <c r="F85" s="13">
        <f t="shared" si="1"/>
        <v>0</v>
      </c>
      <c r="G85" s="13"/>
    </row>
    <row r="86" spans="2:7" x14ac:dyDescent="0.3">
      <c r="B86" s="31"/>
      <c r="C86" s="31"/>
      <c r="D86" s="32"/>
      <c r="E86" s="33"/>
      <c r="F86" s="33">
        <f t="shared" si="1"/>
        <v>0</v>
      </c>
      <c r="G86" s="33"/>
    </row>
    <row r="87" spans="2:7" x14ac:dyDescent="0.3">
      <c r="B87" s="15"/>
      <c r="C87" s="15"/>
      <c r="D87" s="17"/>
      <c r="E87" s="13"/>
      <c r="F87" s="13">
        <f t="shared" si="1"/>
        <v>0</v>
      </c>
      <c r="G87" s="13"/>
    </row>
    <row r="88" spans="2:7" x14ac:dyDescent="0.3">
      <c r="B88" s="31"/>
      <c r="C88" s="31"/>
      <c r="D88" s="32"/>
      <c r="E88" s="33"/>
      <c r="F88" s="33">
        <f t="shared" si="1"/>
        <v>0</v>
      </c>
      <c r="G88" s="33"/>
    </row>
    <row r="89" spans="2:7" x14ac:dyDescent="0.3">
      <c r="B89" s="15"/>
      <c r="C89" s="21"/>
      <c r="D89" s="22"/>
      <c r="E89" s="23"/>
      <c r="F89" s="23">
        <f t="shared" si="1"/>
        <v>0</v>
      </c>
      <c r="G89" s="13"/>
    </row>
    <row r="90" spans="2:7" x14ac:dyDescent="0.3">
      <c r="B90" s="31"/>
      <c r="C90" s="31"/>
      <c r="D90" s="32"/>
      <c r="E90" s="33"/>
      <c r="F90" s="33">
        <f t="shared" si="1"/>
        <v>0</v>
      </c>
      <c r="G90" s="33"/>
    </row>
    <row r="91" spans="2:7" x14ac:dyDescent="0.3">
      <c r="B91" s="15"/>
      <c r="C91" s="15"/>
      <c r="D91" s="17"/>
      <c r="E91" s="13"/>
      <c r="F91" s="13">
        <f t="shared" si="1"/>
        <v>0</v>
      </c>
      <c r="G91" s="13"/>
    </row>
    <row r="92" spans="2:7" x14ac:dyDescent="0.3">
      <c r="B92" s="31"/>
      <c r="C92" s="31"/>
      <c r="D92" s="32"/>
      <c r="E92" s="33"/>
      <c r="F92" s="33">
        <f t="shared" si="1"/>
        <v>0</v>
      </c>
      <c r="G92" s="33"/>
    </row>
    <row r="93" spans="2:7" x14ac:dyDescent="0.3">
      <c r="B93" s="15"/>
      <c r="C93" s="15"/>
      <c r="D93" s="17"/>
      <c r="E93" s="13"/>
      <c r="F93" s="13">
        <f t="shared" si="1"/>
        <v>0</v>
      </c>
      <c r="G93" s="13"/>
    </row>
    <row r="94" spans="2:7" x14ac:dyDescent="0.3">
      <c r="B94" s="31"/>
      <c r="C94" s="31"/>
      <c r="D94" s="32"/>
      <c r="E94" s="33"/>
      <c r="F94" s="33">
        <f t="shared" si="1"/>
        <v>0</v>
      </c>
      <c r="G94" s="33"/>
    </row>
    <row r="95" spans="2:7" x14ac:dyDescent="0.3">
      <c r="B95" s="15"/>
      <c r="C95" s="21"/>
      <c r="D95" s="22"/>
      <c r="E95" s="23"/>
      <c r="F95" s="23">
        <f t="shared" si="1"/>
        <v>0</v>
      </c>
      <c r="G95" s="13"/>
    </row>
    <row r="96" spans="2:7" x14ac:dyDescent="0.3">
      <c r="B96" s="31"/>
      <c r="C96" s="31"/>
      <c r="D96" s="32"/>
      <c r="E96" s="33"/>
      <c r="F96" s="33">
        <f t="shared" si="1"/>
        <v>0</v>
      </c>
      <c r="G96" s="33"/>
    </row>
    <row r="97" spans="2:7" x14ac:dyDescent="0.3">
      <c r="B97" s="15"/>
      <c r="C97" s="15"/>
      <c r="D97" s="17"/>
      <c r="E97" s="13"/>
      <c r="F97" s="13">
        <f t="shared" si="1"/>
        <v>0</v>
      </c>
      <c r="G97" s="13"/>
    </row>
    <row r="98" spans="2:7" x14ac:dyDescent="0.3">
      <c r="B98" s="31"/>
      <c r="C98" s="31"/>
      <c r="D98" s="32"/>
      <c r="E98" s="33"/>
      <c r="F98" s="33">
        <f t="shared" si="1"/>
        <v>0</v>
      </c>
      <c r="G98" s="33"/>
    </row>
    <row r="99" spans="2:7" x14ac:dyDescent="0.3">
      <c r="B99" s="15"/>
      <c r="C99" s="15"/>
      <c r="D99" s="17"/>
      <c r="E99" s="13"/>
      <c r="F99" s="13">
        <f t="shared" si="1"/>
        <v>0</v>
      </c>
      <c r="G99" s="13"/>
    </row>
    <row r="100" spans="2:7" x14ac:dyDescent="0.3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3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3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3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3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3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3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3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3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3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3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3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3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3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3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3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3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3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3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3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3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3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3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3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3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3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3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3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3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3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3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3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3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3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3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3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3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3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3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3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3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3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3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3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3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3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3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3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3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3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3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3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3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3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3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3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3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3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3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3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3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3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3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3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3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3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3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3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3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3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3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3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3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3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3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3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3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3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3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3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3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3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3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3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3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3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3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3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3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3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3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3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3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3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3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3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3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3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3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3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3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3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3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3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3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3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3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3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3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3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3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3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3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3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3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3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3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3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3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3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3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3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3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3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3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3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3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3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3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3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3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3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3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3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3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3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3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3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3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3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3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3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3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3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3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3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3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3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3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3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3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3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3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3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3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3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3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3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3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3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3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3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3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3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3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3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3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3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3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3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3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3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3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3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3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3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3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3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3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3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3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3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3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3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3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3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3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3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3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3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3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3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3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3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3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3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3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3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3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3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3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3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3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3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3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3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3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3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3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3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3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3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3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3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3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3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3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3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3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3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3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3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3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3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3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3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3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3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3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3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3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3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3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3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3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3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3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3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3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3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3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3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3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3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3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3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3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3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3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3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3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3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3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3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3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3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3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3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3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3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3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3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3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3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3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3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3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3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3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3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3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3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3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3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3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3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3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3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3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3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3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3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3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3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3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3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3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3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3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3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3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3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3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3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3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3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3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3">
      <c r="B397" s="15"/>
      <c r="C397" s="15"/>
      <c r="D397" s="17"/>
      <c r="E397" s="13"/>
      <c r="F397" s="13"/>
      <c r="G397" s="13"/>
    </row>
    <row r="398" spans="2:7" x14ac:dyDescent="0.3">
      <c r="B398" s="31"/>
      <c r="C398" s="31"/>
      <c r="D398" s="32"/>
      <c r="E398" s="33"/>
      <c r="F398" s="33"/>
      <c r="G398" s="33"/>
    </row>
    <row r="401" spans="2:8" x14ac:dyDescent="0.3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3">
      <c r="D403" s="84" t="s">
        <v>53</v>
      </c>
      <c r="E403" s="29">
        <v>0.1</v>
      </c>
    </row>
    <row r="404" spans="2:8" x14ac:dyDescent="0.3">
      <c r="D404" s="36" t="s">
        <v>18</v>
      </c>
      <c r="E404" s="33">
        <v>110</v>
      </c>
    </row>
    <row r="405" spans="2:8" x14ac:dyDescent="0.3">
      <c r="D405" s="24" t="s">
        <v>19</v>
      </c>
      <c r="E405" s="30">
        <v>0.4</v>
      </c>
    </row>
    <row r="406" spans="2:8" x14ac:dyDescent="0.3">
      <c r="D406" s="36" t="s">
        <v>23</v>
      </c>
      <c r="E406" s="34">
        <v>0.2</v>
      </c>
      <c r="G406" s="86"/>
    </row>
    <row r="407" spans="2:8" x14ac:dyDescent="0.3">
      <c r="F407" s="27"/>
    </row>
    <row r="408" spans="2:8" x14ac:dyDescent="0.3">
      <c r="F408" s="27"/>
    </row>
    <row r="409" spans="2:8" x14ac:dyDescent="0.3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3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3">
      <c r="F411" s="27"/>
      <c r="G411" s="88" t="s">
        <v>57</v>
      </c>
      <c r="H411" s="90">
        <v>8.8749999999999996E-2</v>
      </c>
    </row>
    <row r="412" spans="2:8" x14ac:dyDescent="0.3">
      <c r="F412" s="27"/>
    </row>
    <row r="413" spans="2:8" x14ac:dyDescent="0.3">
      <c r="D413" s="37" t="s">
        <v>17</v>
      </c>
      <c r="E413" s="28">
        <f>F401*(1+E403)</f>
        <v>0</v>
      </c>
    </row>
    <row r="414" spans="2:8" x14ac:dyDescent="0.3">
      <c r="D414" s="36" t="s">
        <v>20</v>
      </c>
      <c r="E414" s="35">
        <f>B401*E404</f>
        <v>0</v>
      </c>
    </row>
    <row r="415" spans="2:8" x14ac:dyDescent="0.3">
      <c r="D415" s="37" t="s">
        <v>21</v>
      </c>
      <c r="E415" s="28">
        <f>E414*E405</f>
        <v>0</v>
      </c>
    </row>
    <row r="416" spans="2:8" x14ac:dyDescent="0.3">
      <c r="D416" s="38" t="s">
        <v>22</v>
      </c>
      <c r="E416" s="35">
        <f>E414*E406</f>
        <v>0</v>
      </c>
    </row>
    <row r="417" spans="4:8" x14ac:dyDescent="0.3">
      <c r="D417" s="39" t="s">
        <v>28</v>
      </c>
      <c r="E417" s="40">
        <f>SUM(E413:E416)</f>
        <v>0</v>
      </c>
    </row>
    <row r="420" spans="4:8" x14ac:dyDescent="0.3">
      <c r="D420" s="24" t="s">
        <v>24</v>
      </c>
      <c r="E420" s="44">
        <v>0.4</v>
      </c>
    </row>
    <row r="421" spans="4:8" x14ac:dyDescent="0.3">
      <c r="D421" s="39" t="s">
        <v>25</v>
      </c>
      <c r="E421" s="41">
        <f>E417*(1+E420)</f>
        <v>0</v>
      </c>
    </row>
    <row r="422" spans="4:8" x14ac:dyDescent="0.3">
      <c r="D422" s="26"/>
    </row>
    <row r="424" spans="4:8" x14ac:dyDescent="0.3">
      <c r="D424" s="84" t="s">
        <v>47</v>
      </c>
      <c r="E424" s="13"/>
    </row>
    <row r="425" spans="4:8" x14ac:dyDescent="0.3">
      <c r="D425" s="83" t="s">
        <v>50</v>
      </c>
      <c r="E425" s="33"/>
    </row>
    <row r="426" spans="4:8" x14ac:dyDescent="0.3">
      <c r="D426" s="84" t="s">
        <v>49</v>
      </c>
      <c r="E426" s="44">
        <v>0.25</v>
      </c>
    </row>
    <row r="427" spans="4:8" x14ac:dyDescent="0.3">
      <c r="D427" s="39" t="s">
        <v>51</v>
      </c>
      <c r="E427" s="41">
        <f>(E424+E425)*(1+E426)</f>
        <v>0</v>
      </c>
    </row>
    <row r="430" spans="4:8" x14ac:dyDescent="0.3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3">
      <c r="D431" s="36" t="s">
        <v>26</v>
      </c>
      <c r="E431" s="33">
        <f>G401*(1+E430)</f>
        <v>0</v>
      </c>
      <c r="G431" s="13"/>
      <c r="H431" s="13"/>
    </row>
    <row r="432" spans="4:8" x14ac:dyDescent="0.3">
      <c r="D432" s="24" t="s">
        <v>27</v>
      </c>
      <c r="E432" s="44">
        <v>0.25</v>
      </c>
      <c r="G432" s="33"/>
      <c r="H432" s="33"/>
    </row>
    <row r="433" spans="4:8" x14ac:dyDescent="0.3">
      <c r="D433" s="39" t="s">
        <v>29</v>
      </c>
      <c r="E433" s="41">
        <f>E431*(1+E432)</f>
        <v>0</v>
      </c>
      <c r="G433" s="13"/>
      <c r="H433" s="13"/>
    </row>
    <row r="434" spans="4:8" x14ac:dyDescent="0.3">
      <c r="D434" s="19"/>
      <c r="E434" s="18"/>
      <c r="G434" s="33"/>
      <c r="H434" s="33"/>
    </row>
    <row r="435" spans="4:8" x14ac:dyDescent="0.3">
      <c r="G435" s="13"/>
      <c r="H435" s="13"/>
    </row>
    <row r="436" spans="4:8" x14ac:dyDescent="0.3">
      <c r="D436" s="42" t="s">
        <v>10</v>
      </c>
      <c r="E436" s="43">
        <f>E421+E433+E410+E427</f>
        <v>0</v>
      </c>
    </row>
    <row r="437" spans="4:8" x14ac:dyDescent="0.3">
      <c r="D437" s="82" t="s">
        <v>43</v>
      </c>
      <c r="E437" s="46" t="e">
        <f>(E436-E410-(E431+E417))/(E436-E410)</f>
        <v>#DIV/0!</v>
      </c>
    </row>
    <row r="438" spans="4:8" x14ac:dyDescent="0.3">
      <c r="D438" s="20"/>
    </row>
    <row r="440" spans="4:8" x14ac:dyDescent="0.3">
      <c r="D440" s="25" t="s">
        <v>30</v>
      </c>
      <c r="E440" s="30">
        <v>0.15</v>
      </c>
    </row>
    <row r="441" spans="4:8" x14ac:dyDescent="0.3">
      <c r="D441" s="81" t="s">
        <v>42</v>
      </c>
      <c r="E441" s="43">
        <f>E436*(1+E440)</f>
        <v>0</v>
      </c>
    </row>
    <row r="442" spans="4:8" x14ac:dyDescent="0.3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CC52-6189-4EB9-8489-417522F3F13D}">
  <dimension ref="B4:H442"/>
  <sheetViews>
    <sheetView showGridLines="0" topLeftCell="A403" zoomScale="85" zoomScaleNormal="85" workbookViewId="0">
      <selection activeCell="E436" sqref="E436"/>
    </sheetView>
  </sheetViews>
  <sheetFormatPr defaultRowHeight="14.4" x14ac:dyDescent="0.3"/>
  <cols>
    <col min="1" max="1" width="8.44140625" customWidth="1"/>
    <col min="2" max="2" width="12.5546875" style="16" customWidth="1"/>
    <col min="3" max="3" width="11.5546875" style="16" customWidth="1"/>
    <col min="4" max="4" width="107.33203125" customWidth="1"/>
    <col min="5" max="5" width="15.5546875" style="14" customWidth="1"/>
    <col min="6" max="6" width="15.88671875" style="14" customWidth="1"/>
    <col min="7" max="7" width="16.6640625" style="14" customWidth="1"/>
    <col min="8" max="8" width="14.21875" customWidth="1"/>
  </cols>
  <sheetData>
    <row r="4" spans="2:7" x14ac:dyDescent="0.3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3">
      <c r="B5" s="15"/>
      <c r="C5" s="21"/>
      <c r="D5" s="22"/>
      <c r="E5" s="23"/>
      <c r="F5" s="23"/>
      <c r="G5" s="13"/>
    </row>
    <row r="6" spans="2:7" x14ac:dyDescent="0.3">
      <c r="B6" s="31"/>
      <c r="C6" s="31"/>
      <c r="D6" s="32"/>
      <c r="E6" s="33"/>
      <c r="F6" s="33">
        <f>E6*C6</f>
        <v>0</v>
      </c>
      <c r="G6" s="33"/>
    </row>
    <row r="7" spans="2:7" x14ac:dyDescent="0.3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3">
      <c r="B8" s="31"/>
      <c r="C8" s="31"/>
      <c r="D8" s="32"/>
      <c r="E8" s="33"/>
      <c r="F8" s="33">
        <f t="shared" si="0"/>
        <v>0</v>
      </c>
      <c r="G8" s="33"/>
    </row>
    <row r="9" spans="2:7" x14ac:dyDescent="0.3">
      <c r="B9" s="15"/>
      <c r="C9" s="15"/>
      <c r="D9" s="17"/>
      <c r="E9" s="13"/>
      <c r="F9" s="13">
        <f t="shared" si="0"/>
        <v>0</v>
      </c>
      <c r="G9" s="13"/>
    </row>
    <row r="10" spans="2:7" x14ac:dyDescent="0.3">
      <c r="B10" s="31"/>
      <c r="C10" s="31"/>
      <c r="D10" s="32"/>
      <c r="E10" s="33"/>
      <c r="F10" s="33">
        <f t="shared" si="0"/>
        <v>0</v>
      </c>
      <c r="G10" s="33"/>
    </row>
    <row r="11" spans="2:7" x14ac:dyDescent="0.3">
      <c r="B11" s="15"/>
      <c r="C11" s="21"/>
      <c r="D11" s="22"/>
      <c r="E11" s="23"/>
      <c r="F11" s="23">
        <f t="shared" si="0"/>
        <v>0</v>
      </c>
      <c r="G11" s="13"/>
    </row>
    <row r="12" spans="2:7" x14ac:dyDescent="0.3">
      <c r="B12" s="31"/>
      <c r="C12" s="31"/>
      <c r="D12" s="32"/>
      <c r="E12" s="33"/>
      <c r="F12" s="33">
        <f t="shared" si="0"/>
        <v>0</v>
      </c>
      <c r="G12" s="33"/>
    </row>
    <row r="13" spans="2:7" x14ac:dyDescent="0.3">
      <c r="B13" s="15"/>
      <c r="C13" s="15"/>
      <c r="D13" s="17"/>
      <c r="E13" s="13"/>
      <c r="F13" s="13">
        <f t="shared" si="0"/>
        <v>0</v>
      </c>
      <c r="G13" s="13"/>
    </row>
    <row r="14" spans="2:7" x14ac:dyDescent="0.3">
      <c r="B14" s="31"/>
      <c r="C14" s="31"/>
      <c r="D14" s="32"/>
      <c r="E14" s="33"/>
      <c r="F14" s="33">
        <f t="shared" si="0"/>
        <v>0</v>
      </c>
      <c r="G14" s="33"/>
    </row>
    <row r="15" spans="2:7" x14ac:dyDescent="0.3">
      <c r="B15" s="15"/>
      <c r="C15" s="15"/>
      <c r="D15" s="17"/>
      <c r="E15" s="13"/>
      <c r="F15" s="13">
        <f t="shared" si="0"/>
        <v>0</v>
      </c>
      <c r="G15" s="13"/>
    </row>
    <row r="16" spans="2:7" x14ac:dyDescent="0.3">
      <c r="B16" s="31"/>
      <c r="C16" s="31"/>
      <c r="D16" s="32"/>
      <c r="E16" s="33"/>
      <c r="F16" s="33">
        <f t="shared" si="0"/>
        <v>0</v>
      </c>
      <c r="G16" s="33"/>
    </row>
    <row r="17" spans="2:7" x14ac:dyDescent="0.3">
      <c r="B17" s="15"/>
      <c r="C17" s="21"/>
      <c r="D17" s="22"/>
      <c r="E17" s="23"/>
      <c r="F17" s="23">
        <f t="shared" si="0"/>
        <v>0</v>
      </c>
      <c r="G17" s="13"/>
    </row>
    <row r="18" spans="2:7" x14ac:dyDescent="0.3">
      <c r="B18" s="31"/>
      <c r="C18" s="31"/>
      <c r="D18" s="32"/>
      <c r="E18" s="33"/>
      <c r="F18" s="33">
        <f t="shared" si="0"/>
        <v>0</v>
      </c>
      <c r="G18" s="33"/>
    </row>
    <row r="19" spans="2:7" x14ac:dyDescent="0.3">
      <c r="B19" s="15"/>
      <c r="C19" s="15"/>
      <c r="D19" s="17"/>
      <c r="E19" s="13"/>
      <c r="F19" s="13">
        <f t="shared" si="0"/>
        <v>0</v>
      </c>
      <c r="G19" s="13"/>
    </row>
    <row r="20" spans="2:7" x14ac:dyDescent="0.3">
      <c r="B20" s="31"/>
      <c r="C20" s="31"/>
      <c r="D20" s="32"/>
      <c r="E20" s="33"/>
      <c r="F20" s="33">
        <f t="shared" si="0"/>
        <v>0</v>
      </c>
      <c r="G20" s="33"/>
    </row>
    <row r="21" spans="2:7" x14ac:dyDescent="0.3">
      <c r="B21" s="15"/>
      <c r="C21" s="15"/>
      <c r="D21" s="17"/>
      <c r="E21" s="13"/>
      <c r="F21" s="13">
        <f t="shared" si="0"/>
        <v>0</v>
      </c>
      <c r="G21" s="13"/>
    </row>
    <row r="22" spans="2:7" x14ac:dyDescent="0.3">
      <c r="B22" s="31"/>
      <c r="C22" s="31"/>
      <c r="D22" s="32"/>
      <c r="E22" s="33"/>
      <c r="F22" s="33">
        <f t="shared" si="0"/>
        <v>0</v>
      </c>
      <c r="G22" s="33"/>
    </row>
    <row r="23" spans="2:7" x14ac:dyDescent="0.3">
      <c r="B23" s="15"/>
      <c r="C23" s="21"/>
      <c r="D23" s="22"/>
      <c r="E23" s="23"/>
      <c r="F23" s="23">
        <f t="shared" si="0"/>
        <v>0</v>
      </c>
      <c r="G23" s="13"/>
    </row>
    <row r="24" spans="2:7" x14ac:dyDescent="0.3">
      <c r="B24" s="31"/>
      <c r="C24" s="31"/>
      <c r="D24" s="32"/>
      <c r="E24" s="33"/>
      <c r="F24" s="33">
        <f t="shared" si="0"/>
        <v>0</v>
      </c>
      <c r="G24" s="33"/>
    </row>
    <row r="25" spans="2:7" x14ac:dyDescent="0.3">
      <c r="B25" s="15"/>
      <c r="C25" s="15"/>
      <c r="D25" s="17"/>
      <c r="E25" s="13"/>
      <c r="F25" s="13">
        <f t="shared" si="0"/>
        <v>0</v>
      </c>
      <c r="G25" s="13"/>
    </row>
    <row r="26" spans="2:7" x14ac:dyDescent="0.3">
      <c r="B26" s="31"/>
      <c r="C26" s="31"/>
      <c r="D26" s="32"/>
      <c r="E26" s="33"/>
      <c r="F26" s="33">
        <f t="shared" si="0"/>
        <v>0</v>
      </c>
      <c r="G26" s="33"/>
    </row>
    <row r="27" spans="2:7" x14ac:dyDescent="0.3">
      <c r="B27" s="15"/>
      <c r="C27" s="15"/>
      <c r="D27" s="17"/>
      <c r="E27" s="13"/>
      <c r="F27" s="13">
        <f t="shared" si="0"/>
        <v>0</v>
      </c>
      <c r="G27" s="13"/>
    </row>
    <row r="28" spans="2:7" x14ac:dyDescent="0.3">
      <c r="B28" s="31"/>
      <c r="C28" s="31"/>
      <c r="D28" s="32"/>
      <c r="E28" s="33"/>
      <c r="F28" s="33">
        <f t="shared" si="0"/>
        <v>0</v>
      </c>
      <c r="G28" s="33"/>
    </row>
    <row r="29" spans="2:7" x14ac:dyDescent="0.3">
      <c r="B29" s="15"/>
      <c r="C29" s="21"/>
      <c r="D29" s="22"/>
      <c r="E29" s="23"/>
      <c r="F29" s="23">
        <f t="shared" si="0"/>
        <v>0</v>
      </c>
      <c r="G29" s="13"/>
    </row>
    <row r="30" spans="2:7" x14ac:dyDescent="0.3">
      <c r="B30" s="31"/>
      <c r="C30" s="31"/>
      <c r="D30" s="32"/>
      <c r="E30" s="33"/>
      <c r="F30" s="33">
        <f t="shared" si="0"/>
        <v>0</v>
      </c>
      <c r="G30" s="33"/>
    </row>
    <row r="31" spans="2:7" x14ac:dyDescent="0.3">
      <c r="B31" s="15"/>
      <c r="C31" s="15"/>
      <c r="D31" s="17"/>
      <c r="E31" s="13"/>
      <c r="F31" s="13">
        <f t="shared" si="0"/>
        <v>0</v>
      </c>
      <c r="G31" s="13"/>
    </row>
    <row r="32" spans="2:7" x14ac:dyDescent="0.3">
      <c r="B32" s="31"/>
      <c r="C32" s="31"/>
      <c r="D32" s="32"/>
      <c r="E32" s="33"/>
      <c r="F32" s="33">
        <f t="shared" si="0"/>
        <v>0</v>
      </c>
      <c r="G32" s="33"/>
    </row>
    <row r="33" spans="2:7" x14ac:dyDescent="0.3">
      <c r="B33" s="15"/>
      <c r="C33" s="15"/>
      <c r="D33" s="17"/>
      <c r="E33" s="13"/>
      <c r="F33" s="13">
        <f t="shared" si="0"/>
        <v>0</v>
      </c>
      <c r="G33" s="13"/>
    </row>
    <row r="34" spans="2:7" x14ac:dyDescent="0.3">
      <c r="B34" s="31"/>
      <c r="C34" s="31"/>
      <c r="D34" s="32"/>
      <c r="E34" s="33"/>
      <c r="F34" s="33">
        <f t="shared" si="0"/>
        <v>0</v>
      </c>
      <c r="G34" s="33"/>
    </row>
    <row r="35" spans="2:7" x14ac:dyDescent="0.3">
      <c r="B35" s="15"/>
      <c r="C35" s="21"/>
      <c r="D35" s="22"/>
      <c r="E35" s="23"/>
      <c r="F35" s="23">
        <f t="shared" si="0"/>
        <v>0</v>
      </c>
      <c r="G35" s="13"/>
    </row>
    <row r="36" spans="2:7" x14ac:dyDescent="0.3">
      <c r="B36" s="31"/>
      <c r="C36" s="31"/>
      <c r="D36" s="32"/>
      <c r="E36" s="33"/>
      <c r="F36" s="33">
        <f t="shared" si="0"/>
        <v>0</v>
      </c>
      <c r="G36" s="33"/>
    </row>
    <row r="37" spans="2:7" x14ac:dyDescent="0.3">
      <c r="B37" s="15"/>
      <c r="C37" s="15"/>
      <c r="D37" s="17"/>
      <c r="E37" s="13"/>
      <c r="F37" s="13">
        <f t="shared" si="0"/>
        <v>0</v>
      </c>
      <c r="G37" s="13"/>
    </row>
    <row r="38" spans="2:7" x14ac:dyDescent="0.3">
      <c r="B38" s="31"/>
      <c r="C38" s="31"/>
      <c r="D38" s="32"/>
      <c r="E38" s="33"/>
      <c r="F38" s="33">
        <f t="shared" si="0"/>
        <v>0</v>
      </c>
      <c r="G38" s="33"/>
    </row>
    <row r="39" spans="2:7" x14ac:dyDescent="0.3">
      <c r="B39" s="15"/>
      <c r="C39" s="15"/>
      <c r="D39" s="17"/>
      <c r="E39" s="13"/>
      <c r="F39" s="13">
        <f t="shared" si="0"/>
        <v>0</v>
      </c>
      <c r="G39" s="13"/>
    </row>
    <row r="40" spans="2:7" x14ac:dyDescent="0.3">
      <c r="B40" s="31"/>
      <c r="C40" s="31"/>
      <c r="D40" s="32"/>
      <c r="E40" s="33"/>
      <c r="F40" s="33">
        <f t="shared" si="0"/>
        <v>0</v>
      </c>
      <c r="G40" s="33"/>
    </row>
    <row r="41" spans="2:7" x14ac:dyDescent="0.3">
      <c r="B41" s="15"/>
      <c r="C41" s="21"/>
      <c r="D41" s="22"/>
      <c r="E41" s="23"/>
      <c r="F41" s="23">
        <f t="shared" si="0"/>
        <v>0</v>
      </c>
      <c r="G41" s="13"/>
    </row>
    <row r="42" spans="2:7" x14ac:dyDescent="0.3">
      <c r="B42" s="31"/>
      <c r="C42" s="31"/>
      <c r="D42" s="32"/>
      <c r="E42" s="33"/>
      <c r="F42" s="33">
        <f t="shared" si="0"/>
        <v>0</v>
      </c>
      <c r="G42" s="33"/>
    </row>
    <row r="43" spans="2:7" x14ac:dyDescent="0.3">
      <c r="B43" s="15"/>
      <c r="C43" s="15"/>
      <c r="D43" s="17"/>
      <c r="E43" s="13"/>
      <c r="F43" s="13">
        <f t="shared" si="0"/>
        <v>0</v>
      </c>
      <c r="G43" s="13"/>
    </row>
    <row r="44" spans="2:7" x14ac:dyDescent="0.3">
      <c r="B44" s="31"/>
      <c r="C44" s="31"/>
      <c r="D44" s="32"/>
      <c r="E44" s="33"/>
      <c r="F44" s="33">
        <f t="shared" si="0"/>
        <v>0</v>
      </c>
      <c r="G44" s="33"/>
    </row>
    <row r="45" spans="2:7" x14ac:dyDescent="0.3">
      <c r="B45" s="15"/>
      <c r="C45" s="15"/>
      <c r="D45" s="17"/>
      <c r="E45" s="13"/>
      <c r="F45" s="13">
        <f t="shared" si="0"/>
        <v>0</v>
      </c>
      <c r="G45" s="13"/>
    </row>
    <row r="46" spans="2:7" x14ac:dyDescent="0.3">
      <c r="B46" s="31"/>
      <c r="C46" s="31"/>
      <c r="D46" s="32"/>
      <c r="E46" s="33"/>
      <c r="F46" s="33">
        <f t="shared" si="0"/>
        <v>0</v>
      </c>
      <c r="G46" s="33"/>
    </row>
    <row r="47" spans="2:7" x14ac:dyDescent="0.3">
      <c r="B47" s="15"/>
      <c r="C47" s="21"/>
      <c r="D47" s="22"/>
      <c r="E47" s="23"/>
      <c r="F47" s="23">
        <f t="shared" si="0"/>
        <v>0</v>
      </c>
      <c r="G47" s="13"/>
    </row>
    <row r="48" spans="2:7" x14ac:dyDescent="0.3">
      <c r="B48" s="31"/>
      <c r="C48" s="31"/>
      <c r="D48" s="32"/>
      <c r="E48" s="33"/>
      <c r="F48" s="33">
        <f t="shared" si="0"/>
        <v>0</v>
      </c>
      <c r="G48" s="33"/>
    </row>
    <row r="49" spans="2:7" x14ac:dyDescent="0.3">
      <c r="B49" s="15"/>
      <c r="C49" s="15"/>
      <c r="D49" s="17"/>
      <c r="E49" s="13"/>
      <c r="F49" s="13">
        <f t="shared" si="0"/>
        <v>0</v>
      </c>
      <c r="G49" s="13"/>
    </row>
    <row r="50" spans="2:7" x14ac:dyDescent="0.3">
      <c r="B50" s="31"/>
      <c r="C50" s="31"/>
      <c r="D50" s="32"/>
      <c r="E50" s="33"/>
      <c r="F50" s="33">
        <f t="shared" si="0"/>
        <v>0</v>
      </c>
      <c r="G50" s="33"/>
    </row>
    <row r="51" spans="2:7" x14ac:dyDescent="0.3">
      <c r="B51" s="15"/>
      <c r="C51" s="15"/>
      <c r="D51" s="17"/>
      <c r="E51" s="13"/>
      <c r="F51" s="13">
        <f t="shared" si="0"/>
        <v>0</v>
      </c>
      <c r="G51" s="13"/>
    </row>
    <row r="52" spans="2:7" x14ac:dyDescent="0.3">
      <c r="B52" s="31"/>
      <c r="C52" s="31"/>
      <c r="D52" s="32"/>
      <c r="E52" s="33"/>
      <c r="F52" s="33">
        <f t="shared" si="0"/>
        <v>0</v>
      </c>
      <c r="G52" s="33"/>
    </row>
    <row r="53" spans="2:7" x14ac:dyDescent="0.3">
      <c r="B53" s="15"/>
      <c r="C53" s="21"/>
      <c r="D53" s="22"/>
      <c r="E53" s="23"/>
      <c r="F53" s="23">
        <f t="shared" si="0"/>
        <v>0</v>
      </c>
      <c r="G53" s="13"/>
    </row>
    <row r="54" spans="2:7" x14ac:dyDescent="0.3">
      <c r="B54" s="31"/>
      <c r="C54" s="31"/>
      <c r="D54" s="32"/>
      <c r="E54" s="33"/>
      <c r="F54" s="33">
        <f t="shared" si="0"/>
        <v>0</v>
      </c>
      <c r="G54" s="33"/>
    </row>
    <row r="55" spans="2:7" x14ac:dyDescent="0.3">
      <c r="B55" s="15"/>
      <c r="C55" s="15"/>
      <c r="D55" s="17"/>
      <c r="E55" s="13"/>
      <c r="F55" s="13">
        <f t="shared" si="0"/>
        <v>0</v>
      </c>
      <c r="G55" s="13"/>
    </row>
    <row r="56" spans="2:7" x14ac:dyDescent="0.3">
      <c r="B56" s="31"/>
      <c r="C56" s="31"/>
      <c r="D56" s="32"/>
      <c r="E56" s="33"/>
      <c r="F56" s="33">
        <f t="shared" si="0"/>
        <v>0</v>
      </c>
      <c r="G56" s="33"/>
    </row>
    <row r="57" spans="2:7" x14ac:dyDescent="0.3">
      <c r="B57" s="15"/>
      <c r="C57" s="15"/>
      <c r="D57" s="17"/>
      <c r="E57" s="13"/>
      <c r="F57" s="13">
        <f t="shared" si="0"/>
        <v>0</v>
      </c>
      <c r="G57" s="13"/>
    </row>
    <row r="58" spans="2:7" x14ac:dyDescent="0.3">
      <c r="B58" s="31"/>
      <c r="C58" s="31"/>
      <c r="D58" s="32"/>
      <c r="E58" s="33"/>
      <c r="F58" s="33">
        <f t="shared" si="0"/>
        <v>0</v>
      </c>
      <c r="G58" s="33"/>
    </row>
    <row r="59" spans="2:7" x14ac:dyDescent="0.3">
      <c r="B59" s="15"/>
      <c r="C59" s="21"/>
      <c r="D59" s="22"/>
      <c r="E59" s="23"/>
      <c r="F59" s="23">
        <f t="shared" si="0"/>
        <v>0</v>
      </c>
      <c r="G59" s="13"/>
    </row>
    <row r="60" spans="2:7" x14ac:dyDescent="0.3">
      <c r="B60" s="31"/>
      <c r="C60" s="31"/>
      <c r="D60" s="32"/>
      <c r="E60" s="33"/>
      <c r="F60" s="33">
        <f t="shared" si="0"/>
        <v>0</v>
      </c>
      <c r="G60" s="33"/>
    </row>
    <row r="61" spans="2:7" x14ac:dyDescent="0.3">
      <c r="B61" s="15"/>
      <c r="C61" s="15"/>
      <c r="D61" s="17"/>
      <c r="E61" s="13"/>
      <c r="F61" s="13">
        <f t="shared" si="0"/>
        <v>0</v>
      </c>
      <c r="G61" s="13"/>
    </row>
    <row r="62" spans="2:7" x14ac:dyDescent="0.3">
      <c r="B62" s="31"/>
      <c r="C62" s="31"/>
      <c r="D62" s="32"/>
      <c r="E62" s="33"/>
      <c r="F62" s="33">
        <f t="shared" si="0"/>
        <v>0</v>
      </c>
      <c r="G62" s="33"/>
    </row>
    <row r="63" spans="2:7" x14ac:dyDescent="0.3">
      <c r="B63" s="15"/>
      <c r="C63" s="15"/>
      <c r="D63" s="17"/>
      <c r="E63" s="13"/>
      <c r="F63" s="13">
        <f t="shared" si="0"/>
        <v>0</v>
      </c>
      <c r="G63" s="13"/>
    </row>
    <row r="64" spans="2:7" x14ac:dyDescent="0.3">
      <c r="B64" s="31"/>
      <c r="C64" s="31"/>
      <c r="D64" s="32"/>
      <c r="E64" s="33"/>
      <c r="F64" s="33">
        <f t="shared" si="0"/>
        <v>0</v>
      </c>
      <c r="G64" s="33"/>
    </row>
    <row r="65" spans="2:7" x14ac:dyDescent="0.3">
      <c r="B65" s="15"/>
      <c r="C65" s="21"/>
      <c r="D65" s="22"/>
      <c r="E65" s="23"/>
      <c r="F65" s="23">
        <f t="shared" si="0"/>
        <v>0</v>
      </c>
      <c r="G65" s="13"/>
    </row>
    <row r="66" spans="2:7" x14ac:dyDescent="0.3">
      <c r="B66" s="31"/>
      <c r="C66" s="31"/>
      <c r="D66" s="32"/>
      <c r="E66" s="33"/>
      <c r="F66" s="33">
        <f t="shared" si="0"/>
        <v>0</v>
      </c>
      <c r="G66" s="33"/>
    </row>
    <row r="67" spans="2:7" x14ac:dyDescent="0.3">
      <c r="B67" s="15"/>
      <c r="C67" s="15"/>
      <c r="D67" s="17"/>
      <c r="E67" s="13"/>
      <c r="F67" s="13">
        <f t="shared" si="0"/>
        <v>0</v>
      </c>
      <c r="G67" s="13"/>
    </row>
    <row r="68" spans="2:7" x14ac:dyDescent="0.3">
      <c r="B68" s="31"/>
      <c r="C68" s="31"/>
      <c r="D68" s="32"/>
      <c r="E68" s="33"/>
      <c r="F68" s="33">
        <f t="shared" si="0"/>
        <v>0</v>
      </c>
      <c r="G68" s="33"/>
    </row>
    <row r="69" spans="2:7" x14ac:dyDescent="0.3">
      <c r="B69" s="15"/>
      <c r="C69" s="15"/>
      <c r="D69" s="17"/>
      <c r="E69" s="13"/>
      <c r="F69" s="13">
        <f t="shared" si="0"/>
        <v>0</v>
      </c>
      <c r="G69" s="13"/>
    </row>
    <row r="70" spans="2:7" x14ac:dyDescent="0.3">
      <c r="B70" s="31"/>
      <c r="C70" s="31"/>
      <c r="D70" s="32"/>
      <c r="E70" s="33"/>
      <c r="F70" s="33">
        <f t="shared" si="0"/>
        <v>0</v>
      </c>
      <c r="G70" s="33"/>
    </row>
    <row r="71" spans="2:7" x14ac:dyDescent="0.3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3">
      <c r="B72" s="31"/>
      <c r="C72" s="31"/>
      <c r="D72" s="32"/>
      <c r="E72" s="33"/>
      <c r="F72" s="33">
        <f t="shared" si="1"/>
        <v>0</v>
      </c>
      <c r="G72" s="33"/>
    </row>
    <row r="73" spans="2:7" x14ac:dyDescent="0.3">
      <c r="B73" s="15"/>
      <c r="C73" s="15"/>
      <c r="D73" s="17"/>
      <c r="E73" s="13"/>
      <c r="F73" s="13">
        <f t="shared" si="1"/>
        <v>0</v>
      </c>
      <c r="G73" s="13"/>
    </row>
    <row r="74" spans="2:7" x14ac:dyDescent="0.3">
      <c r="B74" s="31"/>
      <c r="C74" s="31"/>
      <c r="D74" s="32"/>
      <c r="E74" s="33"/>
      <c r="F74" s="33">
        <f t="shared" si="1"/>
        <v>0</v>
      </c>
      <c r="G74" s="33"/>
    </row>
    <row r="75" spans="2:7" x14ac:dyDescent="0.3">
      <c r="B75" s="15"/>
      <c r="C75" s="15"/>
      <c r="D75" s="17"/>
      <c r="E75" s="13"/>
      <c r="F75" s="13">
        <f t="shared" si="1"/>
        <v>0</v>
      </c>
      <c r="G75" s="13"/>
    </row>
    <row r="76" spans="2:7" x14ac:dyDescent="0.3">
      <c r="B76" s="31"/>
      <c r="C76" s="31"/>
      <c r="D76" s="32"/>
      <c r="E76" s="33"/>
      <c r="F76" s="33">
        <f t="shared" si="1"/>
        <v>0</v>
      </c>
      <c r="G76" s="33"/>
    </row>
    <row r="77" spans="2:7" x14ac:dyDescent="0.3">
      <c r="B77" s="15"/>
      <c r="C77" s="21"/>
      <c r="D77" s="22"/>
      <c r="E77" s="23"/>
      <c r="F77" s="23">
        <f t="shared" si="1"/>
        <v>0</v>
      </c>
      <c r="G77" s="13"/>
    </row>
    <row r="78" spans="2:7" x14ac:dyDescent="0.3">
      <c r="B78" s="31"/>
      <c r="C78" s="31"/>
      <c r="D78" s="32"/>
      <c r="E78" s="33"/>
      <c r="F78" s="33">
        <f t="shared" si="1"/>
        <v>0</v>
      </c>
      <c r="G78" s="33"/>
    </row>
    <row r="79" spans="2:7" x14ac:dyDescent="0.3">
      <c r="B79" s="15"/>
      <c r="C79" s="15"/>
      <c r="D79" s="17"/>
      <c r="E79" s="13"/>
      <c r="F79" s="13">
        <f t="shared" si="1"/>
        <v>0</v>
      </c>
      <c r="G79" s="13"/>
    </row>
    <row r="80" spans="2:7" x14ac:dyDescent="0.3">
      <c r="B80" s="31"/>
      <c r="C80" s="31"/>
      <c r="D80" s="32"/>
      <c r="E80" s="33"/>
      <c r="F80" s="33">
        <f t="shared" si="1"/>
        <v>0</v>
      </c>
      <c r="G80" s="33"/>
    </row>
    <row r="81" spans="2:7" x14ac:dyDescent="0.3">
      <c r="B81" s="15"/>
      <c r="C81" s="15"/>
      <c r="D81" s="17"/>
      <c r="E81" s="13"/>
      <c r="F81" s="13">
        <f t="shared" si="1"/>
        <v>0</v>
      </c>
      <c r="G81" s="13"/>
    </row>
    <row r="82" spans="2:7" x14ac:dyDescent="0.3">
      <c r="B82" s="31"/>
      <c r="C82" s="31"/>
      <c r="D82" s="32"/>
      <c r="E82" s="33"/>
      <c r="F82" s="33">
        <f t="shared" si="1"/>
        <v>0</v>
      </c>
      <c r="G82" s="33"/>
    </row>
    <row r="83" spans="2:7" x14ac:dyDescent="0.3">
      <c r="B83" s="15"/>
      <c r="C83" s="21"/>
      <c r="D83" s="22"/>
      <c r="E83" s="23"/>
      <c r="F83" s="23">
        <f t="shared" si="1"/>
        <v>0</v>
      </c>
      <c r="G83" s="13"/>
    </row>
    <row r="84" spans="2:7" x14ac:dyDescent="0.3">
      <c r="B84" s="31"/>
      <c r="C84" s="31"/>
      <c r="D84" s="32"/>
      <c r="E84" s="33"/>
      <c r="F84" s="33">
        <f t="shared" si="1"/>
        <v>0</v>
      </c>
      <c r="G84" s="33"/>
    </row>
    <row r="85" spans="2:7" x14ac:dyDescent="0.3">
      <c r="B85" s="15"/>
      <c r="C85" s="15"/>
      <c r="D85" s="17"/>
      <c r="E85" s="13"/>
      <c r="F85" s="13">
        <f t="shared" si="1"/>
        <v>0</v>
      </c>
      <c r="G85" s="13"/>
    </row>
    <row r="86" spans="2:7" x14ac:dyDescent="0.3">
      <c r="B86" s="31"/>
      <c r="C86" s="31"/>
      <c r="D86" s="32"/>
      <c r="E86" s="33"/>
      <c r="F86" s="33">
        <f t="shared" si="1"/>
        <v>0</v>
      </c>
      <c r="G86" s="33"/>
    </row>
    <row r="87" spans="2:7" x14ac:dyDescent="0.3">
      <c r="B87" s="15"/>
      <c r="C87" s="15"/>
      <c r="D87" s="17"/>
      <c r="E87" s="13"/>
      <c r="F87" s="13">
        <f t="shared" si="1"/>
        <v>0</v>
      </c>
      <c r="G87" s="13"/>
    </row>
    <row r="88" spans="2:7" x14ac:dyDescent="0.3">
      <c r="B88" s="31"/>
      <c r="C88" s="31"/>
      <c r="D88" s="32"/>
      <c r="E88" s="33"/>
      <c r="F88" s="33">
        <f t="shared" si="1"/>
        <v>0</v>
      </c>
      <c r="G88" s="33"/>
    </row>
    <row r="89" spans="2:7" x14ac:dyDescent="0.3">
      <c r="B89" s="15"/>
      <c r="C89" s="21"/>
      <c r="D89" s="22"/>
      <c r="E89" s="23"/>
      <c r="F89" s="23">
        <f t="shared" si="1"/>
        <v>0</v>
      </c>
      <c r="G89" s="13"/>
    </row>
    <row r="90" spans="2:7" x14ac:dyDescent="0.3">
      <c r="B90" s="31"/>
      <c r="C90" s="31"/>
      <c r="D90" s="32"/>
      <c r="E90" s="33"/>
      <c r="F90" s="33">
        <f t="shared" si="1"/>
        <v>0</v>
      </c>
      <c r="G90" s="33"/>
    </row>
    <row r="91" spans="2:7" x14ac:dyDescent="0.3">
      <c r="B91" s="15"/>
      <c r="C91" s="15"/>
      <c r="D91" s="17"/>
      <c r="E91" s="13"/>
      <c r="F91" s="13">
        <f t="shared" si="1"/>
        <v>0</v>
      </c>
      <c r="G91" s="13"/>
    </row>
    <row r="92" spans="2:7" x14ac:dyDescent="0.3">
      <c r="B92" s="31"/>
      <c r="C92" s="31"/>
      <c r="D92" s="32"/>
      <c r="E92" s="33"/>
      <c r="F92" s="33">
        <f t="shared" si="1"/>
        <v>0</v>
      </c>
      <c r="G92" s="33"/>
    </row>
    <row r="93" spans="2:7" x14ac:dyDescent="0.3">
      <c r="B93" s="15"/>
      <c r="C93" s="15"/>
      <c r="D93" s="17"/>
      <c r="E93" s="13"/>
      <c r="F93" s="13">
        <f t="shared" si="1"/>
        <v>0</v>
      </c>
      <c r="G93" s="13"/>
    </row>
    <row r="94" spans="2:7" x14ac:dyDescent="0.3">
      <c r="B94" s="31"/>
      <c r="C94" s="31"/>
      <c r="D94" s="32"/>
      <c r="E94" s="33"/>
      <c r="F94" s="33">
        <f t="shared" si="1"/>
        <v>0</v>
      </c>
      <c r="G94" s="33"/>
    </row>
    <row r="95" spans="2:7" x14ac:dyDescent="0.3">
      <c r="B95" s="15"/>
      <c r="C95" s="21"/>
      <c r="D95" s="22"/>
      <c r="E95" s="23"/>
      <c r="F95" s="23">
        <f t="shared" si="1"/>
        <v>0</v>
      </c>
      <c r="G95" s="13"/>
    </row>
    <row r="96" spans="2:7" x14ac:dyDescent="0.3">
      <c r="B96" s="31"/>
      <c r="C96" s="31"/>
      <c r="D96" s="32"/>
      <c r="E96" s="33"/>
      <c r="F96" s="33">
        <f t="shared" si="1"/>
        <v>0</v>
      </c>
      <c r="G96" s="33"/>
    </row>
    <row r="97" spans="2:7" x14ac:dyDescent="0.3">
      <c r="B97" s="15"/>
      <c r="C97" s="15"/>
      <c r="D97" s="17"/>
      <c r="E97" s="13"/>
      <c r="F97" s="13">
        <f t="shared" si="1"/>
        <v>0</v>
      </c>
      <c r="G97" s="13"/>
    </row>
    <row r="98" spans="2:7" x14ac:dyDescent="0.3">
      <c r="B98" s="31"/>
      <c r="C98" s="31"/>
      <c r="D98" s="32"/>
      <c r="E98" s="33"/>
      <c r="F98" s="33">
        <f t="shared" si="1"/>
        <v>0</v>
      </c>
      <c r="G98" s="33"/>
    </row>
    <row r="99" spans="2:7" x14ac:dyDescent="0.3">
      <c r="B99" s="15"/>
      <c r="C99" s="15"/>
      <c r="D99" s="17"/>
      <c r="E99" s="13"/>
      <c r="F99" s="13">
        <f t="shared" si="1"/>
        <v>0</v>
      </c>
      <c r="G99" s="13"/>
    </row>
    <row r="100" spans="2:7" x14ac:dyDescent="0.3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3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3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3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3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3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3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3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3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3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3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3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3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3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3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3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3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3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3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3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3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3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3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3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3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3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3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3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3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3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3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3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3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3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3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3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3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3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3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3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3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3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3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3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3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3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3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3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3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3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3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3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3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3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3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3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3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3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3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3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3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3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3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3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3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3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3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3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3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3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3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3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3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3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3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3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3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3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3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3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3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3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3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3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3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3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3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3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3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3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3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3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3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3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3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3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3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3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3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3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3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3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3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3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3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3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3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3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3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3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3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3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3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3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3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3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3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3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3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3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3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3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3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3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3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3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3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3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3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3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3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3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3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3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3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3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3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3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3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3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3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3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3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3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3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3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3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3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3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3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3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3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3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3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3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3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3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3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3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3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3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3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3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3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3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3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3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3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3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3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3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3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3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3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3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3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3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3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3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3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3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3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3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3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3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3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3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3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3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3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3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3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3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3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3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3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3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3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3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3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3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3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3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3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3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3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3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3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3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3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3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3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3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3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3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3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3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3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3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3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3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3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3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3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3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3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3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3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3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3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3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3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3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3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3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3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3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3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3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3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3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3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3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3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3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3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3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3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3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3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3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3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3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3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3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3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3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3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3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3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3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3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3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3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3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3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3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3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3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3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3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3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3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3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3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3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3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3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3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3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3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3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3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3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3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3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3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3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3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3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3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3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3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3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3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3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3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3">
      <c r="B397" s="15"/>
      <c r="C397" s="15"/>
      <c r="D397" s="17"/>
      <c r="E397" s="13"/>
      <c r="F397" s="13"/>
      <c r="G397" s="13"/>
    </row>
    <row r="398" spans="2:7" x14ac:dyDescent="0.3">
      <c r="B398" s="31"/>
      <c r="C398" s="31"/>
      <c r="D398" s="32"/>
      <c r="E398" s="33"/>
      <c r="F398" s="33"/>
      <c r="G398" s="33"/>
    </row>
    <row r="401" spans="2:8" x14ac:dyDescent="0.3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3">
      <c r="D403" s="84" t="s">
        <v>53</v>
      </c>
      <c r="E403" s="29">
        <v>0.1</v>
      </c>
    </row>
    <row r="404" spans="2:8" x14ac:dyDescent="0.3">
      <c r="D404" s="36" t="s">
        <v>18</v>
      </c>
      <c r="E404" s="33">
        <v>110</v>
      </c>
    </row>
    <row r="405" spans="2:8" x14ac:dyDescent="0.3">
      <c r="D405" s="24" t="s">
        <v>19</v>
      </c>
      <c r="E405" s="30">
        <v>0.4</v>
      </c>
    </row>
    <row r="406" spans="2:8" x14ac:dyDescent="0.3">
      <c r="D406" s="36" t="s">
        <v>23</v>
      </c>
      <c r="E406" s="34">
        <v>0.2</v>
      </c>
      <c r="G406" s="86"/>
    </row>
    <row r="407" spans="2:8" x14ac:dyDescent="0.3">
      <c r="F407" s="27"/>
    </row>
    <row r="408" spans="2:8" x14ac:dyDescent="0.3">
      <c r="F408" s="27"/>
    </row>
    <row r="409" spans="2:8" x14ac:dyDescent="0.3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3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3">
      <c r="F411" s="27"/>
      <c r="G411" s="88" t="s">
        <v>57</v>
      </c>
      <c r="H411" s="90">
        <v>8.8749999999999996E-2</v>
      </c>
    </row>
    <row r="412" spans="2:8" x14ac:dyDescent="0.3">
      <c r="F412" s="27"/>
    </row>
    <row r="413" spans="2:8" x14ac:dyDescent="0.3">
      <c r="D413" s="37" t="s">
        <v>17</v>
      </c>
      <c r="E413" s="28">
        <f>F401*(1+E403)</f>
        <v>0</v>
      </c>
    </row>
    <row r="414" spans="2:8" x14ac:dyDescent="0.3">
      <c r="D414" s="36" t="s">
        <v>20</v>
      </c>
      <c r="E414" s="35">
        <f>B401*E404</f>
        <v>0</v>
      </c>
    </row>
    <row r="415" spans="2:8" x14ac:dyDescent="0.3">
      <c r="D415" s="37" t="s">
        <v>21</v>
      </c>
      <c r="E415" s="28">
        <f>E414*E405</f>
        <v>0</v>
      </c>
    </row>
    <row r="416" spans="2:8" x14ac:dyDescent="0.3">
      <c r="D416" s="38" t="s">
        <v>22</v>
      </c>
      <c r="E416" s="35">
        <f>E414*E406</f>
        <v>0</v>
      </c>
    </row>
    <row r="417" spans="4:8" x14ac:dyDescent="0.3">
      <c r="D417" s="39" t="s">
        <v>28</v>
      </c>
      <c r="E417" s="40">
        <f>SUM(E413:E416)</f>
        <v>0</v>
      </c>
    </row>
    <row r="420" spans="4:8" x14ac:dyDescent="0.3">
      <c r="D420" s="24" t="s">
        <v>24</v>
      </c>
      <c r="E420" s="44">
        <v>0.4</v>
      </c>
    </row>
    <row r="421" spans="4:8" x14ac:dyDescent="0.3">
      <c r="D421" s="39" t="s">
        <v>25</v>
      </c>
      <c r="E421" s="41">
        <f>E417*(1+E420)</f>
        <v>0</v>
      </c>
    </row>
    <row r="422" spans="4:8" x14ac:dyDescent="0.3">
      <c r="D422" s="26"/>
    </row>
    <row r="424" spans="4:8" x14ac:dyDescent="0.3">
      <c r="D424" s="84" t="s">
        <v>47</v>
      </c>
      <c r="E424" s="13"/>
    </row>
    <row r="425" spans="4:8" x14ac:dyDescent="0.3">
      <c r="D425" s="83" t="s">
        <v>50</v>
      </c>
      <c r="E425" s="33"/>
    </row>
    <row r="426" spans="4:8" x14ac:dyDescent="0.3">
      <c r="D426" s="84" t="s">
        <v>49</v>
      </c>
      <c r="E426" s="44">
        <v>0.25</v>
      </c>
    </row>
    <row r="427" spans="4:8" x14ac:dyDescent="0.3">
      <c r="D427" s="39" t="s">
        <v>51</v>
      </c>
      <c r="E427" s="41">
        <f>(E424+E425)*(1+E426)</f>
        <v>0</v>
      </c>
    </row>
    <row r="430" spans="4:8" x14ac:dyDescent="0.3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3">
      <c r="D431" s="36" t="s">
        <v>26</v>
      </c>
      <c r="E431" s="33">
        <f>G401*(1+E430)</f>
        <v>0</v>
      </c>
      <c r="G431" s="13"/>
      <c r="H431" s="13"/>
    </row>
    <row r="432" spans="4:8" x14ac:dyDescent="0.3">
      <c r="D432" s="24" t="s">
        <v>27</v>
      </c>
      <c r="E432" s="44">
        <v>0.25</v>
      </c>
      <c r="G432" s="33"/>
      <c r="H432" s="33"/>
    </row>
    <row r="433" spans="4:8" x14ac:dyDescent="0.3">
      <c r="D433" s="39" t="s">
        <v>29</v>
      </c>
      <c r="E433" s="41">
        <f>E431*(1+E432)</f>
        <v>0</v>
      </c>
      <c r="G433" s="13"/>
      <c r="H433" s="13"/>
    </row>
    <row r="434" spans="4:8" x14ac:dyDescent="0.3">
      <c r="D434" s="19"/>
      <c r="E434" s="18"/>
      <c r="G434" s="33"/>
      <c r="H434" s="33"/>
    </row>
    <row r="435" spans="4:8" x14ac:dyDescent="0.3">
      <c r="G435" s="13"/>
      <c r="H435" s="13"/>
    </row>
    <row r="436" spans="4:8" x14ac:dyDescent="0.3">
      <c r="D436" s="42" t="s">
        <v>10</v>
      </c>
      <c r="E436" s="43">
        <f>E421+E433+E410+E427</f>
        <v>0</v>
      </c>
    </row>
    <row r="437" spans="4:8" x14ac:dyDescent="0.3">
      <c r="D437" s="82" t="s">
        <v>43</v>
      </c>
      <c r="E437" s="46" t="e">
        <f>(E436-(E431+E417))/E436</f>
        <v>#DIV/0!</v>
      </c>
    </row>
    <row r="438" spans="4:8" x14ac:dyDescent="0.3">
      <c r="D438" s="20"/>
    </row>
    <row r="440" spans="4:8" x14ac:dyDescent="0.3">
      <c r="D440" s="25" t="s">
        <v>30</v>
      </c>
      <c r="E440" s="30">
        <v>0.15</v>
      </c>
    </row>
    <row r="441" spans="4:8" x14ac:dyDescent="0.3">
      <c r="D441" s="81" t="s">
        <v>42</v>
      </c>
      <c r="E441" s="43">
        <f>E436*(1+E440)</f>
        <v>0</v>
      </c>
    </row>
    <row r="442" spans="4:8" x14ac:dyDescent="0.3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78A1-5911-4C25-B871-81878B437F93}">
  <dimension ref="B4:H442"/>
  <sheetViews>
    <sheetView showGridLines="0" topLeftCell="A401" zoomScale="85" zoomScaleNormal="85" workbookViewId="0">
      <selection activeCell="E436" sqref="E436"/>
    </sheetView>
  </sheetViews>
  <sheetFormatPr defaultRowHeight="14.4" x14ac:dyDescent="0.3"/>
  <cols>
    <col min="1" max="1" width="8.44140625" customWidth="1"/>
    <col min="2" max="2" width="12.5546875" style="16" customWidth="1"/>
    <col min="3" max="3" width="11.5546875" style="16" customWidth="1"/>
    <col min="4" max="4" width="107.33203125" customWidth="1"/>
    <col min="5" max="5" width="15.5546875" style="14" customWidth="1"/>
    <col min="6" max="6" width="15.88671875" style="14" customWidth="1"/>
    <col min="7" max="7" width="16.6640625" style="14" customWidth="1"/>
    <col min="8" max="8" width="14.21875" customWidth="1"/>
  </cols>
  <sheetData>
    <row r="4" spans="2:7" x14ac:dyDescent="0.3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3">
      <c r="B5" s="15"/>
      <c r="C5" s="21"/>
      <c r="D5" s="22"/>
      <c r="E5" s="23"/>
      <c r="F5" s="23"/>
      <c r="G5" s="13"/>
    </row>
    <row r="6" spans="2:7" x14ac:dyDescent="0.3">
      <c r="B6" s="31"/>
      <c r="C6" s="31"/>
      <c r="D6" s="32"/>
      <c r="E6" s="33"/>
      <c r="F6" s="33">
        <f>E6*C6</f>
        <v>0</v>
      </c>
      <c r="G6" s="33"/>
    </row>
    <row r="7" spans="2:7" x14ac:dyDescent="0.3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3">
      <c r="B8" s="31"/>
      <c r="C8" s="31"/>
      <c r="D8" s="32"/>
      <c r="E8" s="33"/>
      <c r="F8" s="33">
        <f t="shared" si="0"/>
        <v>0</v>
      </c>
      <c r="G8" s="33"/>
    </row>
    <row r="9" spans="2:7" x14ac:dyDescent="0.3">
      <c r="B9" s="15"/>
      <c r="C9" s="15"/>
      <c r="D9" s="17"/>
      <c r="E9" s="13"/>
      <c r="F9" s="13">
        <f t="shared" si="0"/>
        <v>0</v>
      </c>
      <c r="G9" s="13"/>
    </row>
    <row r="10" spans="2:7" x14ac:dyDescent="0.3">
      <c r="B10" s="31"/>
      <c r="C10" s="31"/>
      <c r="D10" s="32"/>
      <c r="E10" s="33"/>
      <c r="F10" s="33">
        <f t="shared" si="0"/>
        <v>0</v>
      </c>
      <c r="G10" s="33"/>
    </row>
    <row r="11" spans="2:7" x14ac:dyDescent="0.3">
      <c r="B11" s="15"/>
      <c r="C11" s="21"/>
      <c r="D11" s="22"/>
      <c r="E11" s="23"/>
      <c r="F11" s="23">
        <f t="shared" si="0"/>
        <v>0</v>
      </c>
      <c r="G11" s="13"/>
    </row>
    <row r="12" spans="2:7" x14ac:dyDescent="0.3">
      <c r="B12" s="31"/>
      <c r="C12" s="31"/>
      <c r="D12" s="32"/>
      <c r="E12" s="33"/>
      <c r="F12" s="33">
        <f t="shared" si="0"/>
        <v>0</v>
      </c>
      <c r="G12" s="33"/>
    </row>
    <row r="13" spans="2:7" x14ac:dyDescent="0.3">
      <c r="B13" s="15"/>
      <c r="C13" s="15"/>
      <c r="D13" s="17"/>
      <c r="E13" s="13"/>
      <c r="F13" s="13">
        <f t="shared" si="0"/>
        <v>0</v>
      </c>
      <c r="G13" s="13"/>
    </row>
    <row r="14" spans="2:7" x14ac:dyDescent="0.3">
      <c r="B14" s="31"/>
      <c r="C14" s="31"/>
      <c r="D14" s="32"/>
      <c r="E14" s="33"/>
      <c r="F14" s="33">
        <f t="shared" si="0"/>
        <v>0</v>
      </c>
      <c r="G14" s="33"/>
    </row>
    <row r="15" spans="2:7" x14ac:dyDescent="0.3">
      <c r="B15" s="15"/>
      <c r="C15" s="15"/>
      <c r="D15" s="17"/>
      <c r="E15" s="13"/>
      <c r="F15" s="13">
        <f t="shared" si="0"/>
        <v>0</v>
      </c>
      <c r="G15" s="13"/>
    </row>
    <row r="16" spans="2:7" x14ac:dyDescent="0.3">
      <c r="B16" s="31"/>
      <c r="C16" s="31"/>
      <c r="D16" s="32"/>
      <c r="E16" s="33"/>
      <c r="F16" s="33">
        <f t="shared" si="0"/>
        <v>0</v>
      </c>
      <c r="G16" s="33"/>
    </row>
    <row r="17" spans="2:7" x14ac:dyDescent="0.3">
      <c r="B17" s="15"/>
      <c r="C17" s="21"/>
      <c r="D17" s="22"/>
      <c r="E17" s="23"/>
      <c r="F17" s="23">
        <f t="shared" si="0"/>
        <v>0</v>
      </c>
      <c r="G17" s="13"/>
    </row>
    <row r="18" spans="2:7" x14ac:dyDescent="0.3">
      <c r="B18" s="31"/>
      <c r="C18" s="31"/>
      <c r="D18" s="32"/>
      <c r="E18" s="33"/>
      <c r="F18" s="33">
        <f t="shared" si="0"/>
        <v>0</v>
      </c>
      <c r="G18" s="33"/>
    </row>
    <row r="19" spans="2:7" x14ac:dyDescent="0.3">
      <c r="B19" s="15"/>
      <c r="C19" s="15"/>
      <c r="D19" s="17"/>
      <c r="E19" s="13"/>
      <c r="F19" s="13">
        <f t="shared" si="0"/>
        <v>0</v>
      </c>
      <c r="G19" s="13"/>
    </row>
    <row r="20" spans="2:7" x14ac:dyDescent="0.3">
      <c r="B20" s="31"/>
      <c r="C20" s="31"/>
      <c r="D20" s="32"/>
      <c r="E20" s="33"/>
      <c r="F20" s="33">
        <f t="shared" si="0"/>
        <v>0</v>
      </c>
      <c r="G20" s="33"/>
    </row>
    <row r="21" spans="2:7" x14ac:dyDescent="0.3">
      <c r="B21" s="15"/>
      <c r="C21" s="15"/>
      <c r="D21" s="17"/>
      <c r="E21" s="13"/>
      <c r="F21" s="13">
        <f t="shared" si="0"/>
        <v>0</v>
      </c>
      <c r="G21" s="13"/>
    </row>
    <row r="22" spans="2:7" x14ac:dyDescent="0.3">
      <c r="B22" s="31"/>
      <c r="C22" s="31"/>
      <c r="D22" s="32"/>
      <c r="E22" s="33"/>
      <c r="F22" s="33">
        <f t="shared" si="0"/>
        <v>0</v>
      </c>
      <c r="G22" s="33"/>
    </row>
    <row r="23" spans="2:7" x14ac:dyDescent="0.3">
      <c r="B23" s="15"/>
      <c r="C23" s="21"/>
      <c r="D23" s="22"/>
      <c r="E23" s="23"/>
      <c r="F23" s="23">
        <f t="shared" si="0"/>
        <v>0</v>
      </c>
      <c r="G23" s="13"/>
    </row>
    <row r="24" spans="2:7" x14ac:dyDescent="0.3">
      <c r="B24" s="31"/>
      <c r="C24" s="31"/>
      <c r="D24" s="32"/>
      <c r="E24" s="33"/>
      <c r="F24" s="33">
        <f t="shared" si="0"/>
        <v>0</v>
      </c>
      <c r="G24" s="33"/>
    </row>
    <row r="25" spans="2:7" x14ac:dyDescent="0.3">
      <c r="B25" s="15"/>
      <c r="C25" s="15"/>
      <c r="D25" s="17"/>
      <c r="E25" s="13"/>
      <c r="F25" s="13">
        <f t="shared" si="0"/>
        <v>0</v>
      </c>
      <c r="G25" s="13"/>
    </row>
    <row r="26" spans="2:7" x14ac:dyDescent="0.3">
      <c r="B26" s="31"/>
      <c r="C26" s="31"/>
      <c r="D26" s="32"/>
      <c r="E26" s="33"/>
      <c r="F26" s="33">
        <f t="shared" si="0"/>
        <v>0</v>
      </c>
      <c r="G26" s="33"/>
    </row>
    <row r="27" spans="2:7" x14ac:dyDescent="0.3">
      <c r="B27" s="15"/>
      <c r="C27" s="15"/>
      <c r="D27" s="17"/>
      <c r="E27" s="13"/>
      <c r="F27" s="13">
        <f t="shared" si="0"/>
        <v>0</v>
      </c>
      <c r="G27" s="13"/>
    </row>
    <row r="28" spans="2:7" x14ac:dyDescent="0.3">
      <c r="B28" s="31"/>
      <c r="C28" s="31"/>
      <c r="D28" s="32"/>
      <c r="E28" s="33"/>
      <c r="F28" s="33">
        <f t="shared" si="0"/>
        <v>0</v>
      </c>
      <c r="G28" s="33"/>
    </row>
    <row r="29" spans="2:7" x14ac:dyDescent="0.3">
      <c r="B29" s="15"/>
      <c r="C29" s="21"/>
      <c r="D29" s="22"/>
      <c r="E29" s="23"/>
      <c r="F29" s="23">
        <f t="shared" si="0"/>
        <v>0</v>
      </c>
      <c r="G29" s="13"/>
    </row>
    <row r="30" spans="2:7" x14ac:dyDescent="0.3">
      <c r="B30" s="31"/>
      <c r="C30" s="31"/>
      <c r="D30" s="32"/>
      <c r="E30" s="33"/>
      <c r="F30" s="33">
        <f t="shared" si="0"/>
        <v>0</v>
      </c>
      <c r="G30" s="33"/>
    </row>
    <row r="31" spans="2:7" x14ac:dyDescent="0.3">
      <c r="B31" s="15"/>
      <c r="C31" s="15"/>
      <c r="D31" s="17"/>
      <c r="E31" s="13"/>
      <c r="F31" s="13">
        <f t="shared" si="0"/>
        <v>0</v>
      </c>
      <c r="G31" s="13"/>
    </row>
    <row r="32" spans="2:7" x14ac:dyDescent="0.3">
      <c r="B32" s="31"/>
      <c r="C32" s="31"/>
      <c r="D32" s="32"/>
      <c r="E32" s="33"/>
      <c r="F32" s="33">
        <f t="shared" si="0"/>
        <v>0</v>
      </c>
      <c r="G32" s="33"/>
    </row>
    <row r="33" spans="2:7" x14ac:dyDescent="0.3">
      <c r="B33" s="15"/>
      <c r="C33" s="15"/>
      <c r="D33" s="17"/>
      <c r="E33" s="13"/>
      <c r="F33" s="13">
        <f t="shared" si="0"/>
        <v>0</v>
      </c>
      <c r="G33" s="13"/>
    </row>
    <row r="34" spans="2:7" x14ac:dyDescent="0.3">
      <c r="B34" s="31"/>
      <c r="C34" s="31"/>
      <c r="D34" s="32"/>
      <c r="E34" s="33"/>
      <c r="F34" s="33">
        <f t="shared" si="0"/>
        <v>0</v>
      </c>
      <c r="G34" s="33"/>
    </row>
    <row r="35" spans="2:7" x14ac:dyDescent="0.3">
      <c r="B35" s="15"/>
      <c r="C35" s="21"/>
      <c r="D35" s="22"/>
      <c r="E35" s="23"/>
      <c r="F35" s="23">
        <f t="shared" si="0"/>
        <v>0</v>
      </c>
      <c r="G35" s="13"/>
    </row>
    <row r="36" spans="2:7" x14ac:dyDescent="0.3">
      <c r="B36" s="31"/>
      <c r="C36" s="31"/>
      <c r="D36" s="32"/>
      <c r="E36" s="33"/>
      <c r="F36" s="33">
        <f t="shared" si="0"/>
        <v>0</v>
      </c>
      <c r="G36" s="33"/>
    </row>
    <row r="37" spans="2:7" x14ac:dyDescent="0.3">
      <c r="B37" s="15"/>
      <c r="C37" s="15"/>
      <c r="D37" s="17"/>
      <c r="E37" s="13"/>
      <c r="F37" s="13">
        <f t="shared" si="0"/>
        <v>0</v>
      </c>
      <c r="G37" s="13"/>
    </row>
    <row r="38" spans="2:7" x14ac:dyDescent="0.3">
      <c r="B38" s="31"/>
      <c r="C38" s="31"/>
      <c r="D38" s="32"/>
      <c r="E38" s="33"/>
      <c r="F38" s="33">
        <f t="shared" si="0"/>
        <v>0</v>
      </c>
      <c r="G38" s="33"/>
    </row>
    <row r="39" spans="2:7" x14ac:dyDescent="0.3">
      <c r="B39" s="15"/>
      <c r="C39" s="15"/>
      <c r="D39" s="17"/>
      <c r="E39" s="13"/>
      <c r="F39" s="13">
        <f t="shared" si="0"/>
        <v>0</v>
      </c>
      <c r="G39" s="13"/>
    </row>
    <row r="40" spans="2:7" x14ac:dyDescent="0.3">
      <c r="B40" s="31"/>
      <c r="C40" s="31"/>
      <c r="D40" s="32"/>
      <c r="E40" s="33"/>
      <c r="F40" s="33">
        <f t="shared" si="0"/>
        <v>0</v>
      </c>
      <c r="G40" s="33"/>
    </row>
    <row r="41" spans="2:7" x14ac:dyDescent="0.3">
      <c r="B41" s="15"/>
      <c r="C41" s="21"/>
      <c r="D41" s="22"/>
      <c r="E41" s="23"/>
      <c r="F41" s="23">
        <f t="shared" si="0"/>
        <v>0</v>
      </c>
      <c r="G41" s="13"/>
    </row>
    <row r="42" spans="2:7" x14ac:dyDescent="0.3">
      <c r="B42" s="31"/>
      <c r="C42" s="31"/>
      <c r="D42" s="32"/>
      <c r="E42" s="33"/>
      <c r="F42" s="33">
        <f t="shared" si="0"/>
        <v>0</v>
      </c>
      <c r="G42" s="33"/>
    </row>
    <row r="43" spans="2:7" x14ac:dyDescent="0.3">
      <c r="B43" s="15"/>
      <c r="C43" s="15"/>
      <c r="D43" s="17"/>
      <c r="E43" s="13"/>
      <c r="F43" s="13">
        <f t="shared" si="0"/>
        <v>0</v>
      </c>
      <c r="G43" s="13"/>
    </row>
    <row r="44" spans="2:7" x14ac:dyDescent="0.3">
      <c r="B44" s="31"/>
      <c r="C44" s="31"/>
      <c r="D44" s="32"/>
      <c r="E44" s="33"/>
      <c r="F44" s="33">
        <f t="shared" si="0"/>
        <v>0</v>
      </c>
      <c r="G44" s="33"/>
    </row>
    <row r="45" spans="2:7" x14ac:dyDescent="0.3">
      <c r="B45" s="15"/>
      <c r="C45" s="15"/>
      <c r="D45" s="17"/>
      <c r="E45" s="13"/>
      <c r="F45" s="13">
        <f t="shared" si="0"/>
        <v>0</v>
      </c>
      <c r="G45" s="13"/>
    </row>
    <row r="46" spans="2:7" x14ac:dyDescent="0.3">
      <c r="B46" s="31"/>
      <c r="C46" s="31"/>
      <c r="D46" s="32"/>
      <c r="E46" s="33"/>
      <c r="F46" s="33">
        <f t="shared" si="0"/>
        <v>0</v>
      </c>
      <c r="G46" s="33"/>
    </row>
    <row r="47" spans="2:7" x14ac:dyDescent="0.3">
      <c r="B47" s="15"/>
      <c r="C47" s="21"/>
      <c r="D47" s="22"/>
      <c r="E47" s="23"/>
      <c r="F47" s="23">
        <f t="shared" si="0"/>
        <v>0</v>
      </c>
      <c r="G47" s="13"/>
    </row>
    <row r="48" spans="2:7" x14ac:dyDescent="0.3">
      <c r="B48" s="31"/>
      <c r="C48" s="31"/>
      <c r="D48" s="32"/>
      <c r="E48" s="33"/>
      <c r="F48" s="33">
        <f t="shared" si="0"/>
        <v>0</v>
      </c>
      <c r="G48" s="33"/>
    </row>
    <row r="49" spans="2:7" x14ac:dyDescent="0.3">
      <c r="B49" s="15"/>
      <c r="C49" s="15"/>
      <c r="D49" s="17"/>
      <c r="E49" s="13"/>
      <c r="F49" s="13">
        <f t="shared" si="0"/>
        <v>0</v>
      </c>
      <c r="G49" s="13"/>
    </row>
    <row r="50" spans="2:7" x14ac:dyDescent="0.3">
      <c r="B50" s="31"/>
      <c r="C50" s="31"/>
      <c r="D50" s="32"/>
      <c r="E50" s="33"/>
      <c r="F50" s="33">
        <f t="shared" si="0"/>
        <v>0</v>
      </c>
      <c r="G50" s="33"/>
    </row>
    <row r="51" spans="2:7" x14ac:dyDescent="0.3">
      <c r="B51" s="15"/>
      <c r="C51" s="15"/>
      <c r="D51" s="17"/>
      <c r="E51" s="13"/>
      <c r="F51" s="13">
        <f t="shared" si="0"/>
        <v>0</v>
      </c>
      <c r="G51" s="13"/>
    </row>
    <row r="52" spans="2:7" x14ac:dyDescent="0.3">
      <c r="B52" s="31"/>
      <c r="C52" s="31"/>
      <c r="D52" s="32"/>
      <c r="E52" s="33"/>
      <c r="F52" s="33">
        <f t="shared" si="0"/>
        <v>0</v>
      </c>
      <c r="G52" s="33"/>
    </row>
    <row r="53" spans="2:7" x14ac:dyDescent="0.3">
      <c r="B53" s="15"/>
      <c r="C53" s="21"/>
      <c r="D53" s="22"/>
      <c r="E53" s="23"/>
      <c r="F53" s="23">
        <f t="shared" si="0"/>
        <v>0</v>
      </c>
      <c r="G53" s="13"/>
    </row>
    <row r="54" spans="2:7" x14ac:dyDescent="0.3">
      <c r="B54" s="31"/>
      <c r="C54" s="31"/>
      <c r="D54" s="32"/>
      <c r="E54" s="33"/>
      <c r="F54" s="33">
        <f t="shared" si="0"/>
        <v>0</v>
      </c>
      <c r="G54" s="33"/>
    </row>
    <row r="55" spans="2:7" x14ac:dyDescent="0.3">
      <c r="B55" s="15"/>
      <c r="C55" s="15"/>
      <c r="D55" s="17"/>
      <c r="E55" s="13"/>
      <c r="F55" s="13">
        <f t="shared" si="0"/>
        <v>0</v>
      </c>
      <c r="G55" s="13"/>
    </row>
    <row r="56" spans="2:7" x14ac:dyDescent="0.3">
      <c r="B56" s="31"/>
      <c r="C56" s="31"/>
      <c r="D56" s="32"/>
      <c r="E56" s="33"/>
      <c r="F56" s="33">
        <f t="shared" si="0"/>
        <v>0</v>
      </c>
      <c r="G56" s="33"/>
    </row>
    <row r="57" spans="2:7" x14ac:dyDescent="0.3">
      <c r="B57" s="15"/>
      <c r="C57" s="15"/>
      <c r="D57" s="17"/>
      <c r="E57" s="13"/>
      <c r="F57" s="13">
        <f t="shared" si="0"/>
        <v>0</v>
      </c>
      <c r="G57" s="13"/>
    </row>
    <row r="58" spans="2:7" x14ac:dyDescent="0.3">
      <c r="B58" s="31"/>
      <c r="C58" s="31"/>
      <c r="D58" s="32"/>
      <c r="E58" s="33"/>
      <c r="F58" s="33">
        <f t="shared" si="0"/>
        <v>0</v>
      </c>
      <c r="G58" s="33"/>
    </row>
    <row r="59" spans="2:7" x14ac:dyDescent="0.3">
      <c r="B59" s="15"/>
      <c r="C59" s="21"/>
      <c r="D59" s="22"/>
      <c r="E59" s="23"/>
      <c r="F59" s="23">
        <f t="shared" si="0"/>
        <v>0</v>
      </c>
      <c r="G59" s="13"/>
    </row>
    <row r="60" spans="2:7" x14ac:dyDescent="0.3">
      <c r="B60" s="31"/>
      <c r="C60" s="31"/>
      <c r="D60" s="32"/>
      <c r="E60" s="33"/>
      <c r="F60" s="33">
        <f t="shared" si="0"/>
        <v>0</v>
      </c>
      <c r="G60" s="33"/>
    </row>
    <row r="61" spans="2:7" x14ac:dyDescent="0.3">
      <c r="B61" s="15"/>
      <c r="C61" s="15"/>
      <c r="D61" s="17"/>
      <c r="E61" s="13"/>
      <c r="F61" s="13">
        <f t="shared" si="0"/>
        <v>0</v>
      </c>
      <c r="G61" s="13"/>
    </row>
    <row r="62" spans="2:7" x14ac:dyDescent="0.3">
      <c r="B62" s="31"/>
      <c r="C62" s="31"/>
      <c r="D62" s="32"/>
      <c r="E62" s="33"/>
      <c r="F62" s="33">
        <f t="shared" si="0"/>
        <v>0</v>
      </c>
      <c r="G62" s="33"/>
    </row>
    <row r="63" spans="2:7" x14ac:dyDescent="0.3">
      <c r="B63" s="15"/>
      <c r="C63" s="15"/>
      <c r="D63" s="17"/>
      <c r="E63" s="13"/>
      <c r="F63" s="13">
        <f t="shared" si="0"/>
        <v>0</v>
      </c>
      <c r="G63" s="13"/>
    </row>
    <row r="64" spans="2:7" x14ac:dyDescent="0.3">
      <c r="B64" s="31"/>
      <c r="C64" s="31"/>
      <c r="D64" s="32"/>
      <c r="E64" s="33"/>
      <c r="F64" s="33">
        <f t="shared" si="0"/>
        <v>0</v>
      </c>
      <c r="G64" s="33"/>
    </row>
    <row r="65" spans="2:7" x14ac:dyDescent="0.3">
      <c r="B65" s="15"/>
      <c r="C65" s="21"/>
      <c r="D65" s="22"/>
      <c r="E65" s="23"/>
      <c r="F65" s="23">
        <f t="shared" si="0"/>
        <v>0</v>
      </c>
      <c r="G65" s="13"/>
    </row>
    <row r="66" spans="2:7" x14ac:dyDescent="0.3">
      <c r="B66" s="31"/>
      <c r="C66" s="31"/>
      <c r="D66" s="32"/>
      <c r="E66" s="33"/>
      <c r="F66" s="33">
        <f t="shared" si="0"/>
        <v>0</v>
      </c>
      <c r="G66" s="33"/>
    </row>
    <row r="67" spans="2:7" x14ac:dyDescent="0.3">
      <c r="B67" s="15"/>
      <c r="C67" s="15"/>
      <c r="D67" s="17"/>
      <c r="E67" s="13"/>
      <c r="F67" s="13">
        <f t="shared" si="0"/>
        <v>0</v>
      </c>
      <c r="G67" s="13"/>
    </row>
    <row r="68" spans="2:7" x14ac:dyDescent="0.3">
      <c r="B68" s="31"/>
      <c r="C68" s="31"/>
      <c r="D68" s="32"/>
      <c r="E68" s="33"/>
      <c r="F68" s="33">
        <f t="shared" si="0"/>
        <v>0</v>
      </c>
      <c r="G68" s="33"/>
    </row>
    <row r="69" spans="2:7" x14ac:dyDescent="0.3">
      <c r="B69" s="15"/>
      <c r="C69" s="15"/>
      <c r="D69" s="17"/>
      <c r="E69" s="13"/>
      <c r="F69" s="13">
        <f t="shared" si="0"/>
        <v>0</v>
      </c>
      <c r="G69" s="13"/>
    </row>
    <row r="70" spans="2:7" x14ac:dyDescent="0.3">
      <c r="B70" s="31"/>
      <c r="C70" s="31"/>
      <c r="D70" s="32"/>
      <c r="E70" s="33"/>
      <c r="F70" s="33">
        <f t="shared" si="0"/>
        <v>0</v>
      </c>
      <c r="G70" s="33"/>
    </row>
    <row r="71" spans="2:7" x14ac:dyDescent="0.3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3">
      <c r="B72" s="31"/>
      <c r="C72" s="31"/>
      <c r="D72" s="32"/>
      <c r="E72" s="33"/>
      <c r="F72" s="33">
        <f t="shared" si="1"/>
        <v>0</v>
      </c>
      <c r="G72" s="33"/>
    </row>
    <row r="73" spans="2:7" x14ac:dyDescent="0.3">
      <c r="B73" s="15"/>
      <c r="C73" s="15"/>
      <c r="D73" s="17"/>
      <c r="E73" s="13"/>
      <c r="F73" s="13">
        <f t="shared" si="1"/>
        <v>0</v>
      </c>
      <c r="G73" s="13"/>
    </row>
    <row r="74" spans="2:7" x14ac:dyDescent="0.3">
      <c r="B74" s="31"/>
      <c r="C74" s="31"/>
      <c r="D74" s="32"/>
      <c r="E74" s="33"/>
      <c r="F74" s="33">
        <f t="shared" si="1"/>
        <v>0</v>
      </c>
      <c r="G74" s="33"/>
    </row>
    <row r="75" spans="2:7" x14ac:dyDescent="0.3">
      <c r="B75" s="15"/>
      <c r="C75" s="15"/>
      <c r="D75" s="17"/>
      <c r="E75" s="13"/>
      <c r="F75" s="13">
        <f t="shared" si="1"/>
        <v>0</v>
      </c>
      <c r="G75" s="13"/>
    </row>
    <row r="76" spans="2:7" x14ac:dyDescent="0.3">
      <c r="B76" s="31"/>
      <c r="C76" s="31"/>
      <c r="D76" s="32"/>
      <c r="E76" s="33"/>
      <c r="F76" s="33">
        <f t="shared" si="1"/>
        <v>0</v>
      </c>
      <c r="G76" s="33"/>
    </row>
    <row r="77" spans="2:7" x14ac:dyDescent="0.3">
      <c r="B77" s="15"/>
      <c r="C77" s="21"/>
      <c r="D77" s="22"/>
      <c r="E77" s="23"/>
      <c r="F77" s="23">
        <f t="shared" si="1"/>
        <v>0</v>
      </c>
      <c r="G77" s="13"/>
    </row>
    <row r="78" spans="2:7" x14ac:dyDescent="0.3">
      <c r="B78" s="31"/>
      <c r="C78" s="31"/>
      <c r="D78" s="32"/>
      <c r="E78" s="33"/>
      <c r="F78" s="33">
        <f t="shared" si="1"/>
        <v>0</v>
      </c>
      <c r="G78" s="33"/>
    </row>
    <row r="79" spans="2:7" x14ac:dyDescent="0.3">
      <c r="B79" s="15"/>
      <c r="C79" s="15"/>
      <c r="D79" s="17"/>
      <c r="E79" s="13"/>
      <c r="F79" s="13">
        <f t="shared" si="1"/>
        <v>0</v>
      </c>
      <c r="G79" s="13"/>
    </row>
    <row r="80" spans="2:7" x14ac:dyDescent="0.3">
      <c r="B80" s="31"/>
      <c r="C80" s="31"/>
      <c r="D80" s="32"/>
      <c r="E80" s="33"/>
      <c r="F80" s="33">
        <f t="shared" si="1"/>
        <v>0</v>
      </c>
      <c r="G80" s="33"/>
    </row>
    <row r="81" spans="2:7" x14ac:dyDescent="0.3">
      <c r="B81" s="15"/>
      <c r="C81" s="15"/>
      <c r="D81" s="17"/>
      <c r="E81" s="13"/>
      <c r="F81" s="13">
        <f t="shared" si="1"/>
        <v>0</v>
      </c>
      <c r="G81" s="13"/>
    </row>
    <row r="82" spans="2:7" x14ac:dyDescent="0.3">
      <c r="B82" s="31"/>
      <c r="C82" s="31"/>
      <c r="D82" s="32"/>
      <c r="E82" s="33"/>
      <c r="F82" s="33">
        <f t="shared" si="1"/>
        <v>0</v>
      </c>
      <c r="G82" s="33"/>
    </row>
    <row r="83" spans="2:7" x14ac:dyDescent="0.3">
      <c r="B83" s="15"/>
      <c r="C83" s="21"/>
      <c r="D83" s="22"/>
      <c r="E83" s="23"/>
      <c r="F83" s="23">
        <f t="shared" si="1"/>
        <v>0</v>
      </c>
      <c r="G83" s="13"/>
    </row>
    <row r="84" spans="2:7" x14ac:dyDescent="0.3">
      <c r="B84" s="31"/>
      <c r="C84" s="31"/>
      <c r="D84" s="32"/>
      <c r="E84" s="33"/>
      <c r="F84" s="33">
        <f t="shared" si="1"/>
        <v>0</v>
      </c>
      <c r="G84" s="33"/>
    </row>
    <row r="85" spans="2:7" x14ac:dyDescent="0.3">
      <c r="B85" s="15"/>
      <c r="C85" s="15"/>
      <c r="D85" s="17"/>
      <c r="E85" s="13"/>
      <c r="F85" s="13">
        <f t="shared" si="1"/>
        <v>0</v>
      </c>
      <c r="G85" s="13"/>
    </row>
    <row r="86" spans="2:7" x14ac:dyDescent="0.3">
      <c r="B86" s="31"/>
      <c r="C86" s="31"/>
      <c r="D86" s="32"/>
      <c r="E86" s="33"/>
      <c r="F86" s="33">
        <f t="shared" si="1"/>
        <v>0</v>
      </c>
      <c r="G86" s="33"/>
    </row>
    <row r="87" spans="2:7" x14ac:dyDescent="0.3">
      <c r="B87" s="15"/>
      <c r="C87" s="15"/>
      <c r="D87" s="17"/>
      <c r="E87" s="13"/>
      <c r="F87" s="13">
        <f t="shared" si="1"/>
        <v>0</v>
      </c>
      <c r="G87" s="13"/>
    </row>
    <row r="88" spans="2:7" x14ac:dyDescent="0.3">
      <c r="B88" s="31"/>
      <c r="C88" s="31"/>
      <c r="D88" s="32"/>
      <c r="E88" s="33"/>
      <c r="F88" s="33">
        <f t="shared" si="1"/>
        <v>0</v>
      </c>
      <c r="G88" s="33"/>
    </row>
    <row r="89" spans="2:7" x14ac:dyDescent="0.3">
      <c r="B89" s="15"/>
      <c r="C89" s="21"/>
      <c r="D89" s="22"/>
      <c r="E89" s="23"/>
      <c r="F89" s="23">
        <f t="shared" si="1"/>
        <v>0</v>
      </c>
      <c r="G89" s="13"/>
    </row>
    <row r="90" spans="2:7" x14ac:dyDescent="0.3">
      <c r="B90" s="31"/>
      <c r="C90" s="31"/>
      <c r="D90" s="32"/>
      <c r="E90" s="33"/>
      <c r="F90" s="33">
        <f t="shared" si="1"/>
        <v>0</v>
      </c>
      <c r="G90" s="33"/>
    </row>
    <row r="91" spans="2:7" x14ac:dyDescent="0.3">
      <c r="B91" s="15"/>
      <c r="C91" s="15"/>
      <c r="D91" s="17"/>
      <c r="E91" s="13"/>
      <c r="F91" s="13">
        <f t="shared" si="1"/>
        <v>0</v>
      </c>
      <c r="G91" s="13"/>
    </row>
    <row r="92" spans="2:7" x14ac:dyDescent="0.3">
      <c r="B92" s="31"/>
      <c r="C92" s="31"/>
      <c r="D92" s="32"/>
      <c r="E92" s="33"/>
      <c r="F92" s="33">
        <f t="shared" si="1"/>
        <v>0</v>
      </c>
      <c r="G92" s="33"/>
    </row>
    <row r="93" spans="2:7" x14ac:dyDescent="0.3">
      <c r="B93" s="15"/>
      <c r="C93" s="15"/>
      <c r="D93" s="17"/>
      <c r="E93" s="13"/>
      <c r="F93" s="13">
        <f t="shared" si="1"/>
        <v>0</v>
      </c>
      <c r="G93" s="13"/>
    </row>
    <row r="94" spans="2:7" x14ac:dyDescent="0.3">
      <c r="B94" s="31"/>
      <c r="C94" s="31"/>
      <c r="D94" s="32"/>
      <c r="E94" s="33"/>
      <c r="F94" s="33">
        <f t="shared" si="1"/>
        <v>0</v>
      </c>
      <c r="G94" s="33"/>
    </row>
    <row r="95" spans="2:7" x14ac:dyDescent="0.3">
      <c r="B95" s="15"/>
      <c r="C95" s="21"/>
      <c r="D95" s="22"/>
      <c r="E95" s="23"/>
      <c r="F95" s="23">
        <f t="shared" si="1"/>
        <v>0</v>
      </c>
      <c r="G95" s="13"/>
    </row>
    <row r="96" spans="2:7" x14ac:dyDescent="0.3">
      <c r="B96" s="31"/>
      <c r="C96" s="31"/>
      <c r="D96" s="32"/>
      <c r="E96" s="33"/>
      <c r="F96" s="33">
        <f t="shared" si="1"/>
        <v>0</v>
      </c>
      <c r="G96" s="33"/>
    </row>
    <row r="97" spans="2:7" x14ac:dyDescent="0.3">
      <c r="B97" s="15"/>
      <c r="C97" s="15"/>
      <c r="D97" s="17"/>
      <c r="E97" s="13"/>
      <c r="F97" s="13">
        <f t="shared" si="1"/>
        <v>0</v>
      </c>
      <c r="G97" s="13"/>
    </row>
    <row r="98" spans="2:7" x14ac:dyDescent="0.3">
      <c r="B98" s="31"/>
      <c r="C98" s="31"/>
      <c r="D98" s="32"/>
      <c r="E98" s="33"/>
      <c r="F98" s="33">
        <f t="shared" si="1"/>
        <v>0</v>
      </c>
      <c r="G98" s="33"/>
    </row>
    <row r="99" spans="2:7" x14ac:dyDescent="0.3">
      <c r="B99" s="15"/>
      <c r="C99" s="15"/>
      <c r="D99" s="17"/>
      <c r="E99" s="13"/>
      <c r="F99" s="13">
        <f t="shared" si="1"/>
        <v>0</v>
      </c>
      <c r="G99" s="13"/>
    </row>
    <row r="100" spans="2:7" x14ac:dyDescent="0.3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3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3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3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3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3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3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3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3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3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3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3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3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3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3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3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3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3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3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3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3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3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3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3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3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3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3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3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3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3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3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3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3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3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3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3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3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3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3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3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3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3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3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3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3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3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3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3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3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3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3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3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3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3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3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3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3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3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3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3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3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3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3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3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3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3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3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3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3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3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3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3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3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3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3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3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3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3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3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3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3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3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3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3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3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3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3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3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3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3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3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3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3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3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3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3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3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3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3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3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3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3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3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3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3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3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3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3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3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3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3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3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3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3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3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3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3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3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3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3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3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3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3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3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3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3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3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3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3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3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3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3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3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3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3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3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3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3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3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3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3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3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3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3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3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3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3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3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3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3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3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3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3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3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3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3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3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3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3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3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3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3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3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3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3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3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3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3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3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3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3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3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3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3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3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3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3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3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3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3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3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3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3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3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3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3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3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3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3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3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3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3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3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3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3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3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3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3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3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3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3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3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3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3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3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3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3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3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3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3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3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3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3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3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3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3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3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3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3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3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3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3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3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3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3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3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3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3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3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3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3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3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3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3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3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3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3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3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3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3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3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3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3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3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3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3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3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3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3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3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3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3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3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3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3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3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3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3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3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3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3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3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3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3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3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3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3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3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3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3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3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3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3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3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3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3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3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3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3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3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3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3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3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3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3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3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3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3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3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3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3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3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3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3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3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3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3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3">
      <c r="B397" s="15"/>
      <c r="C397" s="15"/>
      <c r="D397" s="17"/>
      <c r="E397" s="13"/>
      <c r="F397" s="13"/>
      <c r="G397" s="13"/>
    </row>
    <row r="398" spans="2:7" x14ac:dyDescent="0.3">
      <c r="B398" s="31"/>
      <c r="C398" s="31"/>
      <c r="D398" s="32"/>
      <c r="E398" s="33"/>
      <c r="F398" s="33"/>
      <c r="G398" s="33"/>
    </row>
    <row r="401" spans="2:8" x14ac:dyDescent="0.3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3">
      <c r="D403" s="84" t="s">
        <v>53</v>
      </c>
      <c r="E403" s="29">
        <v>0.1</v>
      </c>
    </row>
    <row r="404" spans="2:8" x14ac:dyDescent="0.3">
      <c r="D404" s="36" t="s">
        <v>18</v>
      </c>
      <c r="E404" s="33">
        <v>110</v>
      </c>
    </row>
    <row r="405" spans="2:8" x14ac:dyDescent="0.3">
      <c r="D405" s="24" t="s">
        <v>19</v>
      </c>
      <c r="E405" s="30">
        <v>0.4</v>
      </c>
    </row>
    <row r="406" spans="2:8" x14ac:dyDescent="0.3">
      <c r="D406" s="36" t="s">
        <v>23</v>
      </c>
      <c r="E406" s="34">
        <v>0.2</v>
      </c>
      <c r="G406" s="86"/>
    </row>
    <row r="407" spans="2:8" x14ac:dyDescent="0.3">
      <c r="F407" s="27"/>
    </row>
    <row r="408" spans="2:8" x14ac:dyDescent="0.3">
      <c r="F408" s="27"/>
    </row>
    <row r="409" spans="2:8" x14ac:dyDescent="0.3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3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3">
      <c r="F411" s="27"/>
      <c r="G411" s="88" t="s">
        <v>57</v>
      </c>
      <c r="H411" s="90">
        <v>8.8749999999999996E-2</v>
      </c>
    </row>
    <row r="412" spans="2:8" x14ac:dyDescent="0.3">
      <c r="F412" s="27"/>
    </row>
    <row r="413" spans="2:8" x14ac:dyDescent="0.3">
      <c r="D413" s="37" t="s">
        <v>17</v>
      </c>
      <c r="E413" s="28">
        <f>F401*(1+E403)</f>
        <v>0</v>
      </c>
    </row>
    <row r="414" spans="2:8" x14ac:dyDescent="0.3">
      <c r="D414" s="36" t="s">
        <v>20</v>
      </c>
      <c r="E414" s="35">
        <f>B401*E404</f>
        <v>0</v>
      </c>
    </row>
    <row r="415" spans="2:8" x14ac:dyDescent="0.3">
      <c r="D415" s="37" t="s">
        <v>21</v>
      </c>
      <c r="E415" s="28">
        <f>E414*E405</f>
        <v>0</v>
      </c>
    </row>
    <row r="416" spans="2:8" x14ac:dyDescent="0.3">
      <c r="D416" s="38" t="s">
        <v>22</v>
      </c>
      <c r="E416" s="35">
        <f>E414*E406</f>
        <v>0</v>
      </c>
    </row>
    <row r="417" spans="4:8" x14ac:dyDescent="0.3">
      <c r="D417" s="39" t="s">
        <v>28</v>
      </c>
      <c r="E417" s="40">
        <f>SUM(E413:E416)</f>
        <v>0</v>
      </c>
    </row>
    <row r="420" spans="4:8" x14ac:dyDescent="0.3">
      <c r="D420" s="24" t="s">
        <v>24</v>
      </c>
      <c r="E420" s="44">
        <v>0.4</v>
      </c>
    </row>
    <row r="421" spans="4:8" x14ac:dyDescent="0.3">
      <c r="D421" s="39" t="s">
        <v>25</v>
      </c>
      <c r="E421" s="41">
        <f>E417*(1+E420)</f>
        <v>0</v>
      </c>
    </row>
    <row r="422" spans="4:8" x14ac:dyDescent="0.3">
      <c r="D422" s="26"/>
    </row>
    <row r="424" spans="4:8" x14ac:dyDescent="0.3">
      <c r="D424" s="84" t="s">
        <v>47</v>
      </c>
      <c r="E424" s="13"/>
    </row>
    <row r="425" spans="4:8" x14ac:dyDescent="0.3">
      <c r="D425" s="83" t="s">
        <v>50</v>
      </c>
      <c r="E425" s="33"/>
    </row>
    <row r="426" spans="4:8" x14ac:dyDescent="0.3">
      <c r="D426" s="84" t="s">
        <v>49</v>
      </c>
      <c r="E426" s="44">
        <v>0.25</v>
      </c>
    </row>
    <row r="427" spans="4:8" x14ac:dyDescent="0.3">
      <c r="D427" s="39" t="s">
        <v>51</v>
      </c>
      <c r="E427" s="41">
        <f>(E424+E425)*(1+E426)</f>
        <v>0</v>
      </c>
    </row>
    <row r="430" spans="4:8" x14ac:dyDescent="0.3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3">
      <c r="D431" s="36" t="s">
        <v>26</v>
      </c>
      <c r="E431" s="33">
        <f>G401*(1+E430)</f>
        <v>0</v>
      </c>
      <c r="G431" s="13"/>
      <c r="H431" s="13"/>
    </row>
    <row r="432" spans="4:8" x14ac:dyDescent="0.3">
      <c r="D432" s="24" t="s">
        <v>27</v>
      </c>
      <c r="E432" s="44">
        <v>0.25</v>
      </c>
      <c r="G432" s="33"/>
      <c r="H432" s="33"/>
    </row>
    <row r="433" spans="4:8" x14ac:dyDescent="0.3">
      <c r="D433" s="39" t="s">
        <v>29</v>
      </c>
      <c r="E433" s="41">
        <f>E431*(1+E432)</f>
        <v>0</v>
      </c>
      <c r="G433" s="13"/>
      <c r="H433" s="13"/>
    </row>
    <row r="434" spans="4:8" x14ac:dyDescent="0.3">
      <c r="D434" s="19"/>
      <c r="E434" s="18"/>
      <c r="G434" s="33"/>
      <c r="H434" s="33"/>
    </row>
    <row r="435" spans="4:8" x14ac:dyDescent="0.3">
      <c r="G435" s="13"/>
      <c r="H435" s="13"/>
    </row>
    <row r="436" spans="4:8" x14ac:dyDescent="0.3">
      <c r="D436" s="42" t="s">
        <v>10</v>
      </c>
      <c r="E436" s="43">
        <f>E421+E433+E410+E427</f>
        <v>0</v>
      </c>
    </row>
    <row r="437" spans="4:8" x14ac:dyDescent="0.3">
      <c r="D437" s="82" t="s">
        <v>43</v>
      </c>
      <c r="E437" s="46" t="e">
        <f>(E436-(E431+E417))/E436</f>
        <v>#DIV/0!</v>
      </c>
    </row>
    <row r="438" spans="4:8" x14ac:dyDescent="0.3">
      <c r="D438" s="20"/>
    </row>
    <row r="440" spans="4:8" x14ac:dyDescent="0.3">
      <c r="D440" s="25" t="s">
        <v>30</v>
      </c>
      <c r="E440" s="30">
        <v>0.15</v>
      </c>
    </row>
    <row r="441" spans="4:8" x14ac:dyDescent="0.3">
      <c r="D441" s="81" t="s">
        <v>42</v>
      </c>
      <c r="E441" s="43">
        <f>E436*(1+E440)</f>
        <v>0</v>
      </c>
    </row>
    <row r="442" spans="4:8" x14ac:dyDescent="0.3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88E6-C639-4B4C-BBE2-84C5CA48252A}">
  <dimension ref="B4:H442"/>
  <sheetViews>
    <sheetView showGridLines="0" topLeftCell="A405" zoomScale="85" zoomScaleNormal="85" workbookViewId="0">
      <selection activeCell="E436" sqref="E436"/>
    </sheetView>
  </sheetViews>
  <sheetFormatPr defaultRowHeight="14.4" x14ac:dyDescent="0.3"/>
  <cols>
    <col min="1" max="1" width="8.44140625" customWidth="1"/>
    <col min="2" max="2" width="12.5546875" style="16" customWidth="1"/>
    <col min="3" max="3" width="11.5546875" style="16" customWidth="1"/>
    <col min="4" max="4" width="107.33203125" customWidth="1"/>
    <col min="5" max="5" width="15.5546875" style="14" customWidth="1"/>
    <col min="6" max="6" width="15.88671875" style="14" customWidth="1"/>
    <col min="7" max="7" width="16.6640625" style="14" customWidth="1"/>
    <col min="8" max="8" width="14.21875" customWidth="1"/>
  </cols>
  <sheetData>
    <row r="4" spans="2:7" x14ac:dyDescent="0.3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3">
      <c r="B5" s="15"/>
      <c r="C5" s="21"/>
      <c r="D5" s="22"/>
      <c r="E5" s="23"/>
      <c r="F5" s="23"/>
      <c r="G5" s="13"/>
    </row>
    <row r="6" spans="2:7" x14ac:dyDescent="0.3">
      <c r="B6" s="31"/>
      <c r="C6" s="31"/>
      <c r="D6" s="32"/>
      <c r="E6" s="33"/>
      <c r="F6" s="33">
        <f>E6*C6</f>
        <v>0</v>
      </c>
      <c r="G6" s="33"/>
    </row>
    <row r="7" spans="2:7" x14ac:dyDescent="0.3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3">
      <c r="B8" s="31"/>
      <c r="C8" s="31"/>
      <c r="D8" s="32"/>
      <c r="E8" s="33"/>
      <c r="F8" s="33">
        <f t="shared" si="0"/>
        <v>0</v>
      </c>
      <c r="G8" s="33"/>
    </row>
    <row r="9" spans="2:7" x14ac:dyDescent="0.3">
      <c r="B9" s="15"/>
      <c r="C9" s="15"/>
      <c r="D9" s="17"/>
      <c r="E9" s="13"/>
      <c r="F9" s="13">
        <f t="shared" si="0"/>
        <v>0</v>
      </c>
      <c r="G9" s="13"/>
    </row>
    <row r="10" spans="2:7" x14ac:dyDescent="0.3">
      <c r="B10" s="31"/>
      <c r="C10" s="31"/>
      <c r="D10" s="32"/>
      <c r="E10" s="33"/>
      <c r="F10" s="33">
        <f t="shared" si="0"/>
        <v>0</v>
      </c>
      <c r="G10" s="33"/>
    </row>
    <row r="11" spans="2:7" x14ac:dyDescent="0.3">
      <c r="B11" s="15"/>
      <c r="C11" s="21"/>
      <c r="D11" s="22"/>
      <c r="E11" s="23"/>
      <c r="F11" s="23">
        <f t="shared" si="0"/>
        <v>0</v>
      </c>
      <c r="G11" s="13"/>
    </row>
    <row r="12" spans="2:7" x14ac:dyDescent="0.3">
      <c r="B12" s="31"/>
      <c r="C12" s="31"/>
      <c r="D12" s="32"/>
      <c r="E12" s="33"/>
      <c r="F12" s="33">
        <f t="shared" si="0"/>
        <v>0</v>
      </c>
      <c r="G12" s="33"/>
    </row>
    <row r="13" spans="2:7" x14ac:dyDescent="0.3">
      <c r="B13" s="15"/>
      <c r="C13" s="15"/>
      <c r="D13" s="17"/>
      <c r="E13" s="13"/>
      <c r="F13" s="13">
        <f t="shared" si="0"/>
        <v>0</v>
      </c>
      <c r="G13" s="13"/>
    </row>
    <row r="14" spans="2:7" x14ac:dyDescent="0.3">
      <c r="B14" s="31"/>
      <c r="C14" s="31"/>
      <c r="D14" s="32"/>
      <c r="E14" s="33"/>
      <c r="F14" s="33">
        <f t="shared" si="0"/>
        <v>0</v>
      </c>
      <c r="G14" s="33"/>
    </row>
    <row r="15" spans="2:7" x14ac:dyDescent="0.3">
      <c r="B15" s="15"/>
      <c r="C15" s="15"/>
      <c r="D15" s="17"/>
      <c r="E15" s="13"/>
      <c r="F15" s="13">
        <f t="shared" si="0"/>
        <v>0</v>
      </c>
      <c r="G15" s="13"/>
    </row>
    <row r="16" spans="2:7" x14ac:dyDescent="0.3">
      <c r="B16" s="31"/>
      <c r="C16" s="31"/>
      <c r="D16" s="32"/>
      <c r="E16" s="33"/>
      <c r="F16" s="33">
        <f t="shared" si="0"/>
        <v>0</v>
      </c>
      <c r="G16" s="33"/>
    </row>
    <row r="17" spans="2:7" x14ac:dyDescent="0.3">
      <c r="B17" s="15"/>
      <c r="C17" s="21"/>
      <c r="D17" s="22"/>
      <c r="E17" s="23"/>
      <c r="F17" s="23">
        <f t="shared" si="0"/>
        <v>0</v>
      </c>
      <c r="G17" s="13"/>
    </row>
    <row r="18" spans="2:7" x14ac:dyDescent="0.3">
      <c r="B18" s="31"/>
      <c r="C18" s="31"/>
      <c r="D18" s="32"/>
      <c r="E18" s="33"/>
      <c r="F18" s="33">
        <f t="shared" si="0"/>
        <v>0</v>
      </c>
      <c r="G18" s="33"/>
    </row>
    <row r="19" spans="2:7" x14ac:dyDescent="0.3">
      <c r="B19" s="15"/>
      <c r="C19" s="15"/>
      <c r="D19" s="17"/>
      <c r="E19" s="13"/>
      <c r="F19" s="13">
        <f t="shared" si="0"/>
        <v>0</v>
      </c>
      <c r="G19" s="13"/>
    </row>
    <row r="20" spans="2:7" x14ac:dyDescent="0.3">
      <c r="B20" s="31"/>
      <c r="C20" s="31"/>
      <c r="D20" s="32"/>
      <c r="E20" s="33"/>
      <c r="F20" s="33">
        <f t="shared" si="0"/>
        <v>0</v>
      </c>
      <c r="G20" s="33"/>
    </row>
    <row r="21" spans="2:7" x14ac:dyDescent="0.3">
      <c r="B21" s="15"/>
      <c r="C21" s="15"/>
      <c r="D21" s="17"/>
      <c r="E21" s="13"/>
      <c r="F21" s="13">
        <f t="shared" si="0"/>
        <v>0</v>
      </c>
      <c r="G21" s="13"/>
    </row>
    <row r="22" spans="2:7" x14ac:dyDescent="0.3">
      <c r="B22" s="31"/>
      <c r="C22" s="31"/>
      <c r="D22" s="32"/>
      <c r="E22" s="33"/>
      <c r="F22" s="33">
        <f t="shared" si="0"/>
        <v>0</v>
      </c>
      <c r="G22" s="33"/>
    </row>
    <row r="23" spans="2:7" x14ac:dyDescent="0.3">
      <c r="B23" s="15"/>
      <c r="C23" s="21"/>
      <c r="D23" s="22"/>
      <c r="E23" s="23"/>
      <c r="F23" s="23">
        <f t="shared" si="0"/>
        <v>0</v>
      </c>
      <c r="G23" s="13"/>
    </row>
    <row r="24" spans="2:7" x14ac:dyDescent="0.3">
      <c r="B24" s="31"/>
      <c r="C24" s="31"/>
      <c r="D24" s="32"/>
      <c r="E24" s="33"/>
      <c r="F24" s="33">
        <f t="shared" si="0"/>
        <v>0</v>
      </c>
      <c r="G24" s="33"/>
    </row>
    <row r="25" spans="2:7" x14ac:dyDescent="0.3">
      <c r="B25" s="15"/>
      <c r="C25" s="15"/>
      <c r="D25" s="17"/>
      <c r="E25" s="13"/>
      <c r="F25" s="13">
        <f t="shared" si="0"/>
        <v>0</v>
      </c>
      <c r="G25" s="13"/>
    </row>
    <row r="26" spans="2:7" x14ac:dyDescent="0.3">
      <c r="B26" s="31"/>
      <c r="C26" s="31"/>
      <c r="D26" s="32"/>
      <c r="E26" s="33"/>
      <c r="F26" s="33">
        <f t="shared" si="0"/>
        <v>0</v>
      </c>
      <c r="G26" s="33"/>
    </row>
    <row r="27" spans="2:7" x14ac:dyDescent="0.3">
      <c r="B27" s="15"/>
      <c r="C27" s="15"/>
      <c r="D27" s="17"/>
      <c r="E27" s="13"/>
      <c r="F27" s="13">
        <f t="shared" si="0"/>
        <v>0</v>
      </c>
      <c r="G27" s="13"/>
    </row>
    <row r="28" spans="2:7" x14ac:dyDescent="0.3">
      <c r="B28" s="31"/>
      <c r="C28" s="31"/>
      <c r="D28" s="32"/>
      <c r="E28" s="33"/>
      <c r="F28" s="33">
        <f t="shared" si="0"/>
        <v>0</v>
      </c>
      <c r="G28" s="33"/>
    </row>
    <row r="29" spans="2:7" x14ac:dyDescent="0.3">
      <c r="B29" s="15"/>
      <c r="C29" s="21"/>
      <c r="D29" s="22"/>
      <c r="E29" s="23"/>
      <c r="F29" s="23">
        <f t="shared" si="0"/>
        <v>0</v>
      </c>
      <c r="G29" s="13"/>
    </row>
    <row r="30" spans="2:7" x14ac:dyDescent="0.3">
      <c r="B30" s="31"/>
      <c r="C30" s="31"/>
      <c r="D30" s="32"/>
      <c r="E30" s="33"/>
      <c r="F30" s="33">
        <f t="shared" si="0"/>
        <v>0</v>
      </c>
      <c r="G30" s="33"/>
    </row>
    <row r="31" spans="2:7" x14ac:dyDescent="0.3">
      <c r="B31" s="15"/>
      <c r="C31" s="15"/>
      <c r="D31" s="17"/>
      <c r="E31" s="13"/>
      <c r="F31" s="13">
        <f t="shared" si="0"/>
        <v>0</v>
      </c>
      <c r="G31" s="13"/>
    </row>
    <row r="32" spans="2:7" x14ac:dyDescent="0.3">
      <c r="B32" s="31"/>
      <c r="C32" s="31"/>
      <c r="D32" s="32"/>
      <c r="E32" s="33"/>
      <c r="F32" s="33">
        <f t="shared" si="0"/>
        <v>0</v>
      </c>
      <c r="G32" s="33"/>
    </row>
    <row r="33" spans="2:7" x14ac:dyDescent="0.3">
      <c r="B33" s="15"/>
      <c r="C33" s="15"/>
      <c r="D33" s="17"/>
      <c r="E33" s="13"/>
      <c r="F33" s="13">
        <f t="shared" si="0"/>
        <v>0</v>
      </c>
      <c r="G33" s="13"/>
    </row>
    <row r="34" spans="2:7" x14ac:dyDescent="0.3">
      <c r="B34" s="31"/>
      <c r="C34" s="31"/>
      <c r="D34" s="32"/>
      <c r="E34" s="33"/>
      <c r="F34" s="33">
        <f t="shared" si="0"/>
        <v>0</v>
      </c>
      <c r="G34" s="33"/>
    </row>
    <row r="35" spans="2:7" x14ac:dyDescent="0.3">
      <c r="B35" s="15"/>
      <c r="C35" s="21"/>
      <c r="D35" s="22"/>
      <c r="E35" s="23"/>
      <c r="F35" s="23">
        <f t="shared" si="0"/>
        <v>0</v>
      </c>
      <c r="G35" s="13"/>
    </row>
    <row r="36" spans="2:7" x14ac:dyDescent="0.3">
      <c r="B36" s="31"/>
      <c r="C36" s="31"/>
      <c r="D36" s="32"/>
      <c r="E36" s="33"/>
      <c r="F36" s="33">
        <f t="shared" si="0"/>
        <v>0</v>
      </c>
      <c r="G36" s="33"/>
    </row>
    <row r="37" spans="2:7" x14ac:dyDescent="0.3">
      <c r="B37" s="15"/>
      <c r="C37" s="15"/>
      <c r="D37" s="17"/>
      <c r="E37" s="13"/>
      <c r="F37" s="13">
        <f t="shared" si="0"/>
        <v>0</v>
      </c>
      <c r="G37" s="13"/>
    </row>
    <row r="38" spans="2:7" x14ac:dyDescent="0.3">
      <c r="B38" s="31"/>
      <c r="C38" s="31"/>
      <c r="D38" s="32"/>
      <c r="E38" s="33"/>
      <c r="F38" s="33">
        <f t="shared" si="0"/>
        <v>0</v>
      </c>
      <c r="G38" s="33"/>
    </row>
    <row r="39" spans="2:7" x14ac:dyDescent="0.3">
      <c r="B39" s="15"/>
      <c r="C39" s="15"/>
      <c r="D39" s="17"/>
      <c r="E39" s="13"/>
      <c r="F39" s="13">
        <f t="shared" si="0"/>
        <v>0</v>
      </c>
      <c r="G39" s="13"/>
    </row>
    <row r="40" spans="2:7" x14ac:dyDescent="0.3">
      <c r="B40" s="31"/>
      <c r="C40" s="31"/>
      <c r="D40" s="32"/>
      <c r="E40" s="33"/>
      <c r="F40" s="33">
        <f t="shared" si="0"/>
        <v>0</v>
      </c>
      <c r="G40" s="33"/>
    </row>
    <row r="41" spans="2:7" x14ac:dyDescent="0.3">
      <c r="B41" s="15"/>
      <c r="C41" s="21"/>
      <c r="D41" s="22"/>
      <c r="E41" s="23"/>
      <c r="F41" s="23">
        <f t="shared" si="0"/>
        <v>0</v>
      </c>
      <c r="G41" s="13"/>
    </row>
    <row r="42" spans="2:7" x14ac:dyDescent="0.3">
      <c r="B42" s="31"/>
      <c r="C42" s="31"/>
      <c r="D42" s="32"/>
      <c r="E42" s="33"/>
      <c r="F42" s="33">
        <f t="shared" si="0"/>
        <v>0</v>
      </c>
      <c r="G42" s="33"/>
    </row>
    <row r="43" spans="2:7" x14ac:dyDescent="0.3">
      <c r="B43" s="15"/>
      <c r="C43" s="15"/>
      <c r="D43" s="17"/>
      <c r="E43" s="13"/>
      <c r="F43" s="13">
        <f t="shared" si="0"/>
        <v>0</v>
      </c>
      <c r="G43" s="13"/>
    </row>
    <row r="44" spans="2:7" x14ac:dyDescent="0.3">
      <c r="B44" s="31"/>
      <c r="C44" s="31"/>
      <c r="D44" s="32"/>
      <c r="E44" s="33"/>
      <c r="F44" s="33">
        <f t="shared" si="0"/>
        <v>0</v>
      </c>
      <c r="G44" s="33"/>
    </row>
    <row r="45" spans="2:7" x14ac:dyDescent="0.3">
      <c r="B45" s="15"/>
      <c r="C45" s="15"/>
      <c r="D45" s="17"/>
      <c r="E45" s="13"/>
      <c r="F45" s="13">
        <f t="shared" si="0"/>
        <v>0</v>
      </c>
      <c r="G45" s="13"/>
    </row>
    <row r="46" spans="2:7" x14ac:dyDescent="0.3">
      <c r="B46" s="31"/>
      <c r="C46" s="31"/>
      <c r="D46" s="32"/>
      <c r="E46" s="33"/>
      <c r="F46" s="33">
        <f t="shared" si="0"/>
        <v>0</v>
      </c>
      <c r="G46" s="33"/>
    </row>
    <row r="47" spans="2:7" x14ac:dyDescent="0.3">
      <c r="B47" s="15"/>
      <c r="C47" s="21"/>
      <c r="D47" s="22"/>
      <c r="E47" s="23"/>
      <c r="F47" s="23">
        <f t="shared" si="0"/>
        <v>0</v>
      </c>
      <c r="G47" s="13"/>
    </row>
    <row r="48" spans="2:7" x14ac:dyDescent="0.3">
      <c r="B48" s="31"/>
      <c r="C48" s="31"/>
      <c r="D48" s="32"/>
      <c r="E48" s="33"/>
      <c r="F48" s="33">
        <f t="shared" si="0"/>
        <v>0</v>
      </c>
      <c r="G48" s="33"/>
    </row>
    <row r="49" spans="2:7" x14ac:dyDescent="0.3">
      <c r="B49" s="15"/>
      <c r="C49" s="15"/>
      <c r="D49" s="17"/>
      <c r="E49" s="13"/>
      <c r="F49" s="13">
        <f t="shared" si="0"/>
        <v>0</v>
      </c>
      <c r="G49" s="13"/>
    </row>
    <row r="50" spans="2:7" x14ac:dyDescent="0.3">
      <c r="B50" s="31"/>
      <c r="C50" s="31"/>
      <c r="D50" s="32"/>
      <c r="E50" s="33"/>
      <c r="F50" s="33">
        <f t="shared" si="0"/>
        <v>0</v>
      </c>
      <c r="G50" s="33"/>
    </row>
    <row r="51" spans="2:7" x14ac:dyDescent="0.3">
      <c r="B51" s="15"/>
      <c r="C51" s="15"/>
      <c r="D51" s="17"/>
      <c r="E51" s="13"/>
      <c r="F51" s="13">
        <f t="shared" si="0"/>
        <v>0</v>
      </c>
      <c r="G51" s="13"/>
    </row>
    <row r="52" spans="2:7" x14ac:dyDescent="0.3">
      <c r="B52" s="31"/>
      <c r="C52" s="31"/>
      <c r="D52" s="32"/>
      <c r="E52" s="33"/>
      <c r="F52" s="33">
        <f t="shared" si="0"/>
        <v>0</v>
      </c>
      <c r="G52" s="33"/>
    </row>
    <row r="53" spans="2:7" x14ac:dyDescent="0.3">
      <c r="B53" s="15"/>
      <c r="C53" s="21"/>
      <c r="D53" s="22"/>
      <c r="E53" s="23"/>
      <c r="F53" s="23">
        <f t="shared" si="0"/>
        <v>0</v>
      </c>
      <c r="G53" s="13"/>
    </row>
    <row r="54" spans="2:7" x14ac:dyDescent="0.3">
      <c r="B54" s="31"/>
      <c r="C54" s="31"/>
      <c r="D54" s="32"/>
      <c r="E54" s="33"/>
      <c r="F54" s="33">
        <f t="shared" si="0"/>
        <v>0</v>
      </c>
      <c r="G54" s="33"/>
    </row>
    <row r="55" spans="2:7" x14ac:dyDescent="0.3">
      <c r="B55" s="15"/>
      <c r="C55" s="15"/>
      <c r="D55" s="17"/>
      <c r="E55" s="13"/>
      <c r="F55" s="13">
        <f t="shared" si="0"/>
        <v>0</v>
      </c>
      <c r="G55" s="13"/>
    </row>
    <row r="56" spans="2:7" x14ac:dyDescent="0.3">
      <c r="B56" s="31"/>
      <c r="C56" s="31"/>
      <c r="D56" s="32"/>
      <c r="E56" s="33"/>
      <c r="F56" s="33">
        <f t="shared" si="0"/>
        <v>0</v>
      </c>
      <c r="G56" s="33"/>
    </row>
    <row r="57" spans="2:7" x14ac:dyDescent="0.3">
      <c r="B57" s="15"/>
      <c r="C57" s="15"/>
      <c r="D57" s="17"/>
      <c r="E57" s="13"/>
      <c r="F57" s="13">
        <f t="shared" si="0"/>
        <v>0</v>
      </c>
      <c r="G57" s="13"/>
    </row>
    <row r="58" spans="2:7" x14ac:dyDescent="0.3">
      <c r="B58" s="31"/>
      <c r="C58" s="31"/>
      <c r="D58" s="32"/>
      <c r="E58" s="33"/>
      <c r="F58" s="33">
        <f t="shared" si="0"/>
        <v>0</v>
      </c>
      <c r="G58" s="33"/>
    </row>
    <row r="59" spans="2:7" x14ac:dyDescent="0.3">
      <c r="B59" s="15"/>
      <c r="C59" s="21"/>
      <c r="D59" s="22"/>
      <c r="E59" s="23"/>
      <c r="F59" s="23">
        <f t="shared" si="0"/>
        <v>0</v>
      </c>
      <c r="G59" s="13"/>
    </row>
    <row r="60" spans="2:7" x14ac:dyDescent="0.3">
      <c r="B60" s="31"/>
      <c r="C60" s="31"/>
      <c r="D60" s="32"/>
      <c r="E60" s="33"/>
      <c r="F60" s="33">
        <f t="shared" si="0"/>
        <v>0</v>
      </c>
      <c r="G60" s="33"/>
    </row>
    <row r="61" spans="2:7" x14ac:dyDescent="0.3">
      <c r="B61" s="15"/>
      <c r="C61" s="15"/>
      <c r="D61" s="17"/>
      <c r="E61" s="13"/>
      <c r="F61" s="13">
        <f t="shared" si="0"/>
        <v>0</v>
      </c>
      <c r="G61" s="13"/>
    </row>
    <row r="62" spans="2:7" x14ac:dyDescent="0.3">
      <c r="B62" s="31"/>
      <c r="C62" s="31"/>
      <c r="D62" s="32"/>
      <c r="E62" s="33"/>
      <c r="F62" s="33">
        <f t="shared" si="0"/>
        <v>0</v>
      </c>
      <c r="G62" s="33"/>
    </row>
    <row r="63" spans="2:7" x14ac:dyDescent="0.3">
      <c r="B63" s="15"/>
      <c r="C63" s="15"/>
      <c r="D63" s="17"/>
      <c r="E63" s="13"/>
      <c r="F63" s="13">
        <f t="shared" si="0"/>
        <v>0</v>
      </c>
      <c r="G63" s="13"/>
    </row>
    <row r="64" spans="2:7" x14ac:dyDescent="0.3">
      <c r="B64" s="31"/>
      <c r="C64" s="31"/>
      <c r="D64" s="32"/>
      <c r="E64" s="33"/>
      <c r="F64" s="33">
        <f t="shared" si="0"/>
        <v>0</v>
      </c>
      <c r="G64" s="33"/>
    </row>
    <row r="65" spans="2:7" x14ac:dyDescent="0.3">
      <c r="B65" s="15"/>
      <c r="C65" s="21"/>
      <c r="D65" s="22"/>
      <c r="E65" s="23"/>
      <c r="F65" s="23">
        <f t="shared" si="0"/>
        <v>0</v>
      </c>
      <c r="G65" s="13"/>
    </row>
    <row r="66" spans="2:7" x14ac:dyDescent="0.3">
      <c r="B66" s="31"/>
      <c r="C66" s="31"/>
      <c r="D66" s="32"/>
      <c r="E66" s="33"/>
      <c r="F66" s="33">
        <f t="shared" si="0"/>
        <v>0</v>
      </c>
      <c r="G66" s="33"/>
    </row>
    <row r="67" spans="2:7" x14ac:dyDescent="0.3">
      <c r="B67" s="15"/>
      <c r="C67" s="15"/>
      <c r="D67" s="17"/>
      <c r="E67" s="13"/>
      <c r="F67" s="13">
        <f t="shared" si="0"/>
        <v>0</v>
      </c>
      <c r="G67" s="13"/>
    </row>
    <row r="68" spans="2:7" x14ac:dyDescent="0.3">
      <c r="B68" s="31"/>
      <c r="C68" s="31"/>
      <c r="D68" s="32"/>
      <c r="E68" s="33"/>
      <c r="F68" s="33">
        <f t="shared" si="0"/>
        <v>0</v>
      </c>
      <c r="G68" s="33"/>
    </row>
    <row r="69" spans="2:7" x14ac:dyDescent="0.3">
      <c r="B69" s="15"/>
      <c r="C69" s="15"/>
      <c r="D69" s="17"/>
      <c r="E69" s="13"/>
      <c r="F69" s="13">
        <f t="shared" si="0"/>
        <v>0</v>
      </c>
      <c r="G69" s="13"/>
    </row>
    <row r="70" spans="2:7" x14ac:dyDescent="0.3">
      <c r="B70" s="31"/>
      <c r="C70" s="31"/>
      <c r="D70" s="32"/>
      <c r="E70" s="33"/>
      <c r="F70" s="33">
        <f t="shared" si="0"/>
        <v>0</v>
      </c>
      <c r="G70" s="33"/>
    </row>
    <row r="71" spans="2:7" x14ac:dyDescent="0.3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3">
      <c r="B72" s="31"/>
      <c r="C72" s="31"/>
      <c r="D72" s="32"/>
      <c r="E72" s="33"/>
      <c r="F72" s="33">
        <f t="shared" si="1"/>
        <v>0</v>
      </c>
      <c r="G72" s="33"/>
    </row>
    <row r="73" spans="2:7" x14ac:dyDescent="0.3">
      <c r="B73" s="15"/>
      <c r="C73" s="15"/>
      <c r="D73" s="17"/>
      <c r="E73" s="13"/>
      <c r="F73" s="13">
        <f t="shared" si="1"/>
        <v>0</v>
      </c>
      <c r="G73" s="13"/>
    </row>
    <row r="74" spans="2:7" x14ac:dyDescent="0.3">
      <c r="B74" s="31"/>
      <c r="C74" s="31"/>
      <c r="D74" s="32"/>
      <c r="E74" s="33"/>
      <c r="F74" s="33">
        <f t="shared" si="1"/>
        <v>0</v>
      </c>
      <c r="G74" s="33"/>
    </row>
    <row r="75" spans="2:7" x14ac:dyDescent="0.3">
      <c r="B75" s="15"/>
      <c r="C75" s="15"/>
      <c r="D75" s="17"/>
      <c r="E75" s="13"/>
      <c r="F75" s="13">
        <f t="shared" si="1"/>
        <v>0</v>
      </c>
      <c r="G75" s="13"/>
    </row>
    <row r="76" spans="2:7" x14ac:dyDescent="0.3">
      <c r="B76" s="31"/>
      <c r="C76" s="31"/>
      <c r="D76" s="32"/>
      <c r="E76" s="33"/>
      <c r="F76" s="33">
        <f t="shared" si="1"/>
        <v>0</v>
      </c>
      <c r="G76" s="33"/>
    </row>
    <row r="77" spans="2:7" x14ac:dyDescent="0.3">
      <c r="B77" s="15"/>
      <c r="C77" s="21"/>
      <c r="D77" s="22"/>
      <c r="E77" s="23"/>
      <c r="F77" s="23">
        <f t="shared" si="1"/>
        <v>0</v>
      </c>
      <c r="G77" s="13"/>
    </row>
    <row r="78" spans="2:7" x14ac:dyDescent="0.3">
      <c r="B78" s="31"/>
      <c r="C78" s="31"/>
      <c r="D78" s="32"/>
      <c r="E78" s="33"/>
      <c r="F78" s="33">
        <f t="shared" si="1"/>
        <v>0</v>
      </c>
      <c r="G78" s="33"/>
    </row>
    <row r="79" spans="2:7" x14ac:dyDescent="0.3">
      <c r="B79" s="15"/>
      <c r="C79" s="15"/>
      <c r="D79" s="17"/>
      <c r="E79" s="13"/>
      <c r="F79" s="13">
        <f t="shared" si="1"/>
        <v>0</v>
      </c>
      <c r="G79" s="13"/>
    </row>
    <row r="80" spans="2:7" x14ac:dyDescent="0.3">
      <c r="B80" s="31"/>
      <c r="C80" s="31"/>
      <c r="D80" s="32"/>
      <c r="E80" s="33"/>
      <c r="F80" s="33">
        <f t="shared" si="1"/>
        <v>0</v>
      </c>
      <c r="G80" s="33"/>
    </row>
    <row r="81" spans="2:7" x14ac:dyDescent="0.3">
      <c r="B81" s="15"/>
      <c r="C81" s="15"/>
      <c r="D81" s="17"/>
      <c r="E81" s="13"/>
      <c r="F81" s="13">
        <f t="shared" si="1"/>
        <v>0</v>
      </c>
      <c r="G81" s="13"/>
    </row>
    <row r="82" spans="2:7" x14ac:dyDescent="0.3">
      <c r="B82" s="31"/>
      <c r="C82" s="31"/>
      <c r="D82" s="32"/>
      <c r="E82" s="33"/>
      <c r="F82" s="33">
        <f t="shared" si="1"/>
        <v>0</v>
      </c>
      <c r="G82" s="33"/>
    </row>
    <row r="83" spans="2:7" x14ac:dyDescent="0.3">
      <c r="B83" s="15"/>
      <c r="C83" s="21"/>
      <c r="D83" s="22"/>
      <c r="E83" s="23"/>
      <c r="F83" s="23">
        <f t="shared" si="1"/>
        <v>0</v>
      </c>
      <c r="G83" s="13"/>
    </row>
    <row r="84" spans="2:7" x14ac:dyDescent="0.3">
      <c r="B84" s="31"/>
      <c r="C84" s="31"/>
      <c r="D84" s="32"/>
      <c r="E84" s="33"/>
      <c r="F84" s="33">
        <f t="shared" si="1"/>
        <v>0</v>
      </c>
      <c r="G84" s="33"/>
    </row>
    <row r="85" spans="2:7" x14ac:dyDescent="0.3">
      <c r="B85" s="15"/>
      <c r="C85" s="15"/>
      <c r="D85" s="17"/>
      <c r="E85" s="13"/>
      <c r="F85" s="13">
        <f t="shared" si="1"/>
        <v>0</v>
      </c>
      <c r="G85" s="13"/>
    </row>
    <row r="86" spans="2:7" x14ac:dyDescent="0.3">
      <c r="B86" s="31"/>
      <c r="C86" s="31"/>
      <c r="D86" s="32"/>
      <c r="E86" s="33"/>
      <c r="F86" s="33">
        <f t="shared" si="1"/>
        <v>0</v>
      </c>
      <c r="G86" s="33"/>
    </row>
    <row r="87" spans="2:7" x14ac:dyDescent="0.3">
      <c r="B87" s="15"/>
      <c r="C87" s="15"/>
      <c r="D87" s="17"/>
      <c r="E87" s="13"/>
      <c r="F87" s="13">
        <f t="shared" si="1"/>
        <v>0</v>
      </c>
      <c r="G87" s="13"/>
    </row>
    <row r="88" spans="2:7" x14ac:dyDescent="0.3">
      <c r="B88" s="31"/>
      <c r="C88" s="31"/>
      <c r="D88" s="32"/>
      <c r="E88" s="33"/>
      <c r="F88" s="33">
        <f t="shared" si="1"/>
        <v>0</v>
      </c>
      <c r="G88" s="33"/>
    </row>
    <row r="89" spans="2:7" x14ac:dyDescent="0.3">
      <c r="B89" s="15"/>
      <c r="C89" s="21"/>
      <c r="D89" s="22"/>
      <c r="E89" s="23"/>
      <c r="F89" s="23">
        <f t="shared" si="1"/>
        <v>0</v>
      </c>
      <c r="G89" s="13"/>
    </row>
    <row r="90" spans="2:7" x14ac:dyDescent="0.3">
      <c r="B90" s="31"/>
      <c r="C90" s="31"/>
      <c r="D90" s="32"/>
      <c r="E90" s="33"/>
      <c r="F90" s="33">
        <f t="shared" si="1"/>
        <v>0</v>
      </c>
      <c r="G90" s="33"/>
    </row>
    <row r="91" spans="2:7" x14ac:dyDescent="0.3">
      <c r="B91" s="15"/>
      <c r="C91" s="15"/>
      <c r="D91" s="17"/>
      <c r="E91" s="13"/>
      <c r="F91" s="13">
        <f t="shared" si="1"/>
        <v>0</v>
      </c>
      <c r="G91" s="13"/>
    </row>
    <row r="92" spans="2:7" x14ac:dyDescent="0.3">
      <c r="B92" s="31"/>
      <c r="C92" s="31"/>
      <c r="D92" s="32"/>
      <c r="E92" s="33"/>
      <c r="F92" s="33">
        <f t="shared" si="1"/>
        <v>0</v>
      </c>
      <c r="G92" s="33"/>
    </row>
    <row r="93" spans="2:7" x14ac:dyDescent="0.3">
      <c r="B93" s="15"/>
      <c r="C93" s="15"/>
      <c r="D93" s="17"/>
      <c r="E93" s="13"/>
      <c r="F93" s="13">
        <f t="shared" si="1"/>
        <v>0</v>
      </c>
      <c r="G93" s="13"/>
    </row>
    <row r="94" spans="2:7" x14ac:dyDescent="0.3">
      <c r="B94" s="31"/>
      <c r="C94" s="31"/>
      <c r="D94" s="32"/>
      <c r="E94" s="33"/>
      <c r="F94" s="33">
        <f t="shared" si="1"/>
        <v>0</v>
      </c>
      <c r="G94" s="33"/>
    </row>
    <row r="95" spans="2:7" x14ac:dyDescent="0.3">
      <c r="B95" s="15"/>
      <c r="C95" s="21"/>
      <c r="D95" s="22"/>
      <c r="E95" s="23"/>
      <c r="F95" s="23">
        <f t="shared" si="1"/>
        <v>0</v>
      </c>
      <c r="G95" s="13"/>
    </row>
    <row r="96" spans="2:7" x14ac:dyDescent="0.3">
      <c r="B96" s="31"/>
      <c r="C96" s="31"/>
      <c r="D96" s="32"/>
      <c r="E96" s="33"/>
      <c r="F96" s="33">
        <f t="shared" si="1"/>
        <v>0</v>
      </c>
      <c r="G96" s="33"/>
    </row>
    <row r="97" spans="2:7" x14ac:dyDescent="0.3">
      <c r="B97" s="15"/>
      <c r="C97" s="15"/>
      <c r="D97" s="17"/>
      <c r="E97" s="13"/>
      <c r="F97" s="13">
        <f t="shared" si="1"/>
        <v>0</v>
      </c>
      <c r="G97" s="13"/>
    </row>
    <row r="98" spans="2:7" x14ac:dyDescent="0.3">
      <c r="B98" s="31"/>
      <c r="C98" s="31"/>
      <c r="D98" s="32"/>
      <c r="E98" s="33"/>
      <c r="F98" s="33">
        <f t="shared" si="1"/>
        <v>0</v>
      </c>
      <c r="G98" s="33"/>
    </row>
    <row r="99" spans="2:7" x14ac:dyDescent="0.3">
      <c r="B99" s="15"/>
      <c r="C99" s="15"/>
      <c r="D99" s="17"/>
      <c r="E99" s="13"/>
      <c r="F99" s="13">
        <f t="shared" si="1"/>
        <v>0</v>
      </c>
      <c r="G99" s="13"/>
    </row>
    <row r="100" spans="2:7" x14ac:dyDescent="0.3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3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3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3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3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3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3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3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3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3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3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3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3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3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3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3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3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3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3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3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3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3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3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3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3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3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3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3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3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3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3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3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3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3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3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3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3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3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3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3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3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3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3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3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3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3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3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3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3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3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3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3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3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3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3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3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3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3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3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3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3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3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3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3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3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3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3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3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3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3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3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3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3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3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3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3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3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3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3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3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3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3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3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3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3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3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3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3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3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3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3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3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3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3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3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3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3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3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3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3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3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3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3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3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3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3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3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3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3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3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3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3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3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3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3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3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3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3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3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3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3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3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3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3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3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3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3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3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3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3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3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3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3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3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3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3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3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3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3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3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3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3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3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3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3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3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3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3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3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3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3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3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3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3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3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3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3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3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3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3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3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3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3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3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3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3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3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3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3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3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3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3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3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3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3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3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3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3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3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3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3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3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3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3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3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3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3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3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3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3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3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3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3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3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3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3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3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3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3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3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3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3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3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3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3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3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3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3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3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3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3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3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3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3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3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3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3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3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3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3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3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3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3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3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3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3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3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3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3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3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3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3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3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3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3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3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3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3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3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3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3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3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3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3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3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3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3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3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3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3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3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3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3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3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3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3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3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3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3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3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3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3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3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3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3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3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3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3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3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3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3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3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3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3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3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3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3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3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3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3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3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3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3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3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3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3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3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3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3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3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3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3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3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3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3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3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3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3">
      <c r="B397" s="15"/>
      <c r="C397" s="15"/>
      <c r="D397" s="17"/>
      <c r="E397" s="13"/>
      <c r="F397" s="13"/>
      <c r="G397" s="13"/>
    </row>
    <row r="398" spans="2:7" x14ac:dyDescent="0.3">
      <c r="B398" s="31"/>
      <c r="C398" s="31"/>
      <c r="D398" s="32"/>
      <c r="E398" s="33"/>
      <c r="F398" s="33"/>
      <c r="G398" s="33"/>
    </row>
    <row r="401" spans="2:8" x14ac:dyDescent="0.3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3">
      <c r="D403" s="84" t="s">
        <v>53</v>
      </c>
      <c r="E403" s="29">
        <v>0.1</v>
      </c>
    </row>
    <row r="404" spans="2:8" x14ac:dyDescent="0.3">
      <c r="D404" s="36" t="s">
        <v>18</v>
      </c>
      <c r="E404" s="33">
        <v>110</v>
      </c>
    </row>
    <row r="405" spans="2:8" x14ac:dyDescent="0.3">
      <c r="D405" s="24" t="s">
        <v>19</v>
      </c>
      <c r="E405" s="30">
        <v>0.4</v>
      </c>
    </row>
    <row r="406" spans="2:8" x14ac:dyDescent="0.3">
      <c r="D406" s="36" t="s">
        <v>23</v>
      </c>
      <c r="E406" s="34">
        <v>0.2</v>
      </c>
      <c r="G406" s="86"/>
    </row>
    <row r="407" spans="2:8" x14ac:dyDescent="0.3">
      <c r="F407" s="27"/>
    </row>
    <row r="408" spans="2:8" x14ac:dyDescent="0.3">
      <c r="F408" s="27"/>
    </row>
    <row r="409" spans="2:8" x14ac:dyDescent="0.3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3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3">
      <c r="F411" s="27"/>
      <c r="G411" s="88" t="s">
        <v>57</v>
      </c>
      <c r="H411" s="90">
        <v>8.8749999999999996E-2</v>
      </c>
    </row>
    <row r="412" spans="2:8" x14ac:dyDescent="0.3">
      <c r="F412" s="27"/>
    </row>
    <row r="413" spans="2:8" x14ac:dyDescent="0.3">
      <c r="D413" s="37" t="s">
        <v>17</v>
      </c>
      <c r="E413" s="28">
        <f>F401*(1+E403)</f>
        <v>0</v>
      </c>
    </row>
    <row r="414" spans="2:8" x14ac:dyDescent="0.3">
      <c r="D414" s="36" t="s">
        <v>20</v>
      </c>
      <c r="E414" s="35">
        <f>B401*E404</f>
        <v>0</v>
      </c>
    </row>
    <row r="415" spans="2:8" x14ac:dyDescent="0.3">
      <c r="D415" s="37" t="s">
        <v>21</v>
      </c>
      <c r="E415" s="28">
        <f>E414*E405</f>
        <v>0</v>
      </c>
    </row>
    <row r="416" spans="2:8" x14ac:dyDescent="0.3">
      <c r="D416" s="38" t="s">
        <v>22</v>
      </c>
      <c r="E416" s="35">
        <f>E414*E406</f>
        <v>0</v>
      </c>
    </row>
    <row r="417" spans="4:8" x14ac:dyDescent="0.3">
      <c r="D417" s="39" t="s">
        <v>28</v>
      </c>
      <c r="E417" s="40">
        <f>SUM(E413:E416)</f>
        <v>0</v>
      </c>
    </row>
    <row r="420" spans="4:8" x14ac:dyDescent="0.3">
      <c r="D420" s="24" t="s">
        <v>24</v>
      </c>
      <c r="E420" s="44">
        <v>0.4</v>
      </c>
    </row>
    <row r="421" spans="4:8" x14ac:dyDescent="0.3">
      <c r="D421" s="39" t="s">
        <v>25</v>
      </c>
      <c r="E421" s="41">
        <f>E417*(1+E420)</f>
        <v>0</v>
      </c>
    </row>
    <row r="422" spans="4:8" x14ac:dyDescent="0.3">
      <c r="D422" s="26"/>
    </row>
    <row r="424" spans="4:8" x14ac:dyDescent="0.3">
      <c r="D424" s="84" t="s">
        <v>47</v>
      </c>
      <c r="E424" s="13"/>
    </row>
    <row r="425" spans="4:8" x14ac:dyDescent="0.3">
      <c r="D425" s="83" t="s">
        <v>50</v>
      </c>
      <c r="E425" s="33"/>
    </row>
    <row r="426" spans="4:8" x14ac:dyDescent="0.3">
      <c r="D426" s="84" t="s">
        <v>49</v>
      </c>
      <c r="E426" s="44">
        <v>0.25</v>
      </c>
    </row>
    <row r="427" spans="4:8" x14ac:dyDescent="0.3">
      <c r="D427" s="39" t="s">
        <v>51</v>
      </c>
      <c r="E427" s="41">
        <f>(E424+E425)*(1+E426)</f>
        <v>0</v>
      </c>
    </row>
    <row r="430" spans="4:8" x14ac:dyDescent="0.3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3">
      <c r="D431" s="36" t="s">
        <v>26</v>
      </c>
      <c r="E431" s="33">
        <f>G401*(1+E430)</f>
        <v>0</v>
      </c>
      <c r="G431" s="13"/>
      <c r="H431" s="13"/>
    </row>
    <row r="432" spans="4:8" x14ac:dyDescent="0.3">
      <c r="D432" s="24" t="s">
        <v>27</v>
      </c>
      <c r="E432" s="44">
        <v>0.25</v>
      </c>
      <c r="G432" s="33"/>
      <c r="H432" s="33"/>
    </row>
    <row r="433" spans="4:8" x14ac:dyDescent="0.3">
      <c r="D433" s="39" t="s">
        <v>29</v>
      </c>
      <c r="E433" s="41">
        <f>E431*(1+E432)</f>
        <v>0</v>
      </c>
      <c r="G433" s="13"/>
      <c r="H433" s="13"/>
    </row>
    <row r="434" spans="4:8" x14ac:dyDescent="0.3">
      <c r="D434" s="19"/>
      <c r="E434" s="18"/>
      <c r="G434" s="33"/>
      <c r="H434" s="33"/>
    </row>
    <row r="435" spans="4:8" x14ac:dyDescent="0.3">
      <c r="G435" s="13"/>
      <c r="H435" s="13"/>
    </row>
    <row r="436" spans="4:8" x14ac:dyDescent="0.3">
      <c r="D436" s="42" t="s">
        <v>10</v>
      </c>
      <c r="E436" s="43">
        <f>E421+E433+E410+E427</f>
        <v>0</v>
      </c>
    </row>
    <row r="437" spans="4:8" x14ac:dyDescent="0.3">
      <c r="D437" s="82" t="s">
        <v>43</v>
      </c>
      <c r="E437" s="46" t="e">
        <f>(E436-(E431+E417))/E436</f>
        <v>#DIV/0!</v>
      </c>
    </row>
    <row r="438" spans="4:8" x14ac:dyDescent="0.3">
      <c r="D438" s="20"/>
    </row>
    <row r="440" spans="4:8" x14ac:dyDescent="0.3">
      <c r="D440" s="25" t="s">
        <v>30</v>
      </c>
      <c r="E440" s="30">
        <v>0.15</v>
      </c>
    </row>
    <row r="441" spans="4:8" x14ac:dyDescent="0.3">
      <c r="D441" s="81" t="s">
        <v>42</v>
      </c>
      <c r="E441" s="43">
        <f>E436*(1+E440)</f>
        <v>0</v>
      </c>
    </row>
    <row r="442" spans="4:8" x14ac:dyDescent="0.3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B809-66DC-4574-B670-E61553BAFC19}">
  <dimension ref="B4:H442"/>
  <sheetViews>
    <sheetView showGridLines="0" topLeftCell="A405" zoomScale="85" zoomScaleNormal="85" workbookViewId="0">
      <selection activeCell="E436" sqref="E436"/>
    </sheetView>
  </sheetViews>
  <sheetFormatPr defaultRowHeight="14.4" x14ac:dyDescent="0.3"/>
  <cols>
    <col min="1" max="1" width="8.44140625" customWidth="1"/>
    <col min="2" max="2" width="12.5546875" style="16" customWidth="1"/>
    <col min="3" max="3" width="11.5546875" style="16" customWidth="1"/>
    <col min="4" max="4" width="107.33203125" customWidth="1"/>
    <col min="5" max="5" width="15.5546875" style="14" customWidth="1"/>
    <col min="6" max="6" width="15.88671875" style="14" customWidth="1"/>
    <col min="7" max="7" width="16.6640625" style="14" customWidth="1"/>
    <col min="8" max="8" width="14.21875" customWidth="1"/>
  </cols>
  <sheetData>
    <row r="4" spans="2:7" x14ac:dyDescent="0.3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3">
      <c r="B5" s="15"/>
      <c r="C5" s="21"/>
      <c r="D5" s="22"/>
      <c r="E5" s="23"/>
      <c r="F5" s="23"/>
      <c r="G5" s="13"/>
    </row>
    <row r="6" spans="2:7" x14ac:dyDescent="0.3">
      <c r="B6" s="31"/>
      <c r="C6" s="31"/>
      <c r="D6" s="32"/>
      <c r="E6" s="33"/>
      <c r="F6" s="33">
        <f>E6*C6</f>
        <v>0</v>
      </c>
      <c r="G6" s="33"/>
    </row>
    <row r="7" spans="2:7" x14ac:dyDescent="0.3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3">
      <c r="B8" s="31"/>
      <c r="C8" s="31"/>
      <c r="D8" s="32"/>
      <c r="E8" s="33"/>
      <c r="F8" s="33">
        <f t="shared" si="0"/>
        <v>0</v>
      </c>
      <c r="G8" s="33"/>
    </row>
    <row r="9" spans="2:7" x14ac:dyDescent="0.3">
      <c r="B9" s="15"/>
      <c r="C9" s="15"/>
      <c r="D9" s="17"/>
      <c r="E9" s="13"/>
      <c r="F9" s="13">
        <f t="shared" si="0"/>
        <v>0</v>
      </c>
      <c r="G9" s="13"/>
    </row>
    <row r="10" spans="2:7" x14ac:dyDescent="0.3">
      <c r="B10" s="31"/>
      <c r="C10" s="31"/>
      <c r="D10" s="32"/>
      <c r="E10" s="33"/>
      <c r="F10" s="33">
        <f t="shared" si="0"/>
        <v>0</v>
      </c>
      <c r="G10" s="33"/>
    </row>
    <row r="11" spans="2:7" x14ac:dyDescent="0.3">
      <c r="B11" s="15"/>
      <c r="C11" s="21"/>
      <c r="D11" s="22"/>
      <c r="E11" s="23"/>
      <c r="F11" s="23">
        <f t="shared" si="0"/>
        <v>0</v>
      </c>
      <c r="G11" s="13"/>
    </row>
    <row r="12" spans="2:7" x14ac:dyDescent="0.3">
      <c r="B12" s="31"/>
      <c r="C12" s="31"/>
      <c r="D12" s="32"/>
      <c r="E12" s="33"/>
      <c r="F12" s="33">
        <f t="shared" si="0"/>
        <v>0</v>
      </c>
      <c r="G12" s="33"/>
    </row>
    <row r="13" spans="2:7" x14ac:dyDescent="0.3">
      <c r="B13" s="15"/>
      <c r="C13" s="15"/>
      <c r="D13" s="17"/>
      <c r="E13" s="13"/>
      <c r="F13" s="13">
        <f t="shared" si="0"/>
        <v>0</v>
      </c>
      <c r="G13" s="13"/>
    </row>
    <row r="14" spans="2:7" x14ac:dyDescent="0.3">
      <c r="B14" s="31"/>
      <c r="C14" s="31"/>
      <c r="D14" s="32"/>
      <c r="E14" s="33"/>
      <c r="F14" s="33">
        <f t="shared" si="0"/>
        <v>0</v>
      </c>
      <c r="G14" s="33"/>
    </row>
    <row r="15" spans="2:7" x14ac:dyDescent="0.3">
      <c r="B15" s="15"/>
      <c r="C15" s="15"/>
      <c r="D15" s="17"/>
      <c r="E15" s="13"/>
      <c r="F15" s="13">
        <f t="shared" si="0"/>
        <v>0</v>
      </c>
      <c r="G15" s="13"/>
    </row>
    <row r="16" spans="2:7" x14ac:dyDescent="0.3">
      <c r="B16" s="31"/>
      <c r="C16" s="31"/>
      <c r="D16" s="32"/>
      <c r="E16" s="33"/>
      <c r="F16" s="33">
        <f t="shared" si="0"/>
        <v>0</v>
      </c>
      <c r="G16" s="33"/>
    </row>
    <row r="17" spans="2:7" x14ac:dyDescent="0.3">
      <c r="B17" s="15"/>
      <c r="C17" s="21"/>
      <c r="D17" s="22"/>
      <c r="E17" s="23"/>
      <c r="F17" s="23">
        <f t="shared" si="0"/>
        <v>0</v>
      </c>
      <c r="G17" s="13"/>
    </row>
    <row r="18" spans="2:7" x14ac:dyDescent="0.3">
      <c r="B18" s="31"/>
      <c r="C18" s="31"/>
      <c r="D18" s="32"/>
      <c r="E18" s="33"/>
      <c r="F18" s="33">
        <f t="shared" si="0"/>
        <v>0</v>
      </c>
      <c r="G18" s="33"/>
    </row>
    <row r="19" spans="2:7" x14ac:dyDescent="0.3">
      <c r="B19" s="15"/>
      <c r="C19" s="15"/>
      <c r="D19" s="17"/>
      <c r="E19" s="13"/>
      <c r="F19" s="13">
        <f t="shared" si="0"/>
        <v>0</v>
      </c>
      <c r="G19" s="13"/>
    </row>
    <row r="20" spans="2:7" x14ac:dyDescent="0.3">
      <c r="B20" s="31"/>
      <c r="C20" s="31"/>
      <c r="D20" s="32"/>
      <c r="E20" s="33"/>
      <c r="F20" s="33">
        <f t="shared" si="0"/>
        <v>0</v>
      </c>
      <c r="G20" s="33"/>
    </row>
    <row r="21" spans="2:7" x14ac:dyDescent="0.3">
      <c r="B21" s="15"/>
      <c r="C21" s="15"/>
      <c r="D21" s="17"/>
      <c r="E21" s="13"/>
      <c r="F21" s="13">
        <f t="shared" si="0"/>
        <v>0</v>
      </c>
      <c r="G21" s="13"/>
    </row>
    <row r="22" spans="2:7" x14ac:dyDescent="0.3">
      <c r="B22" s="31"/>
      <c r="C22" s="31"/>
      <c r="D22" s="32"/>
      <c r="E22" s="33"/>
      <c r="F22" s="33">
        <f t="shared" si="0"/>
        <v>0</v>
      </c>
      <c r="G22" s="33"/>
    </row>
    <row r="23" spans="2:7" x14ac:dyDescent="0.3">
      <c r="B23" s="15"/>
      <c r="C23" s="21"/>
      <c r="D23" s="22"/>
      <c r="E23" s="23"/>
      <c r="F23" s="23">
        <f t="shared" si="0"/>
        <v>0</v>
      </c>
      <c r="G23" s="13"/>
    </row>
    <row r="24" spans="2:7" x14ac:dyDescent="0.3">
      <c r="B24" s="31"/>
      <c r="C24" s="31"/>
      <c r="D24" s="32"/>
      <c r="E24" s="33"/>
      <c r="F24" s="33">
        <f t="shared" si="0"/>
        <v>0</v>
      </c>
      <c r="G24" s="33"/>
    </row>
    <row r="25" spans="2:7" x14ac:dyDescent="0.3">
      <c r="B25" s="15"/>
      <c r="C25" s="15"/>
      <c r="D25" s="17"/>
      <c r="E25" s="13"/>
      <c r="F25" s="13">
        <f t="shared" si="0"/>
        <v>0</v>
      </c>
      <c r="G25" s="13"/>
    </row>
    <row r="26" spans="2:7" x14ac:dyDescent="0.3">
      <c r="B26" s="31"/>
      <c r="C26" s="31"/>
      <c r="D26" s="32"/>
      <c r="E26" s="33"/>
      <c r="F26" s="33">
        <f t="shared" si="0"/>
        <v>0</v>
      </c>
      <c r="G26" s="33"/>
    </row>
    <row r="27" spans="2:7" x14ac:dyDescent="0.3">
      <c r="B27" s="15"/>
      <c r="C27" s="15"/>
      <c r="D27" s="17"/>
      <c r="E27" s="13"/>
      <c r="F27" s="13">
        <f t="shared" si="0"/>
        <v>0</v>
      </c>
      <c r="G27" s="13"/>
    </row>
    <row r="28" spans="2:7" x14ac:dyDescent="0.3">
      <c r="B28" s="31"/>
      <c r="C28" s="31"/>
      <c r="D28" s="32"/>
      <c r="E28" s="33"/>
      <c r="F28" s="33">
        <f t="shared" si="0"/>
        <v>0</v>
      </c>
      <c r="G28" s="33"/>
    </row>
    <row r="29" spans="2:7" x14ac:dyDescent="0.3">
      <c r="B29" s="15"/>
      <c r="C29" s="21"/>
      <c r="D29" s="22"/>
      <c r="E29" s="23"/>
      <c r="F29" s="23">
        <f t="shared" si="0"/>
        <v>0</v>
      </c>
      <c r="G29" s="13"/>
    </row>
    <row r="30" spans="2:7" x14ac:dyDescent="0.3">
      <c r="B30" s="31"/>
      <c r="C30" s="31"/>
      <c r="D30" s="32"/>
      <c r="E30" s="33"/>
      <c r="F30" s="33">
        <f t="shared" si="0"/>
        <v>0</v>
      </c>
      <c r="G30" s="33"/>
    </row>
    <row r="31" spans="2:7" x14ac:dyDescent="0.3">
      <c r="B31" s="15"/>
      <c r="C31" s="15"/>
      <c r="D31" s="17"/>
      <c r="E31" s="13"/>
      <c r="F31" s="13">
        <f t="shared" si="0"/>
        <v>0</v>
      </c>
      <c r="G31" s="13"/>
    </row>
    <row r="32" spans="2:7" x14ac:dyDescent="0.3">
      <c r="B32" s="31"/>
      <c r="C32" s="31"/>
      <c r="D32" s="32"/>
      <c r="E32" s="33"/>
      <c r="F32" s="33">
        <f t="shared" si="0"/>
        <v>0</v>
      </c>
      <c r="G32" s="33"/>
    </row>
    <row r="33" spans="2:7" x14ac:dyDescent="0.3">
      <c r="B33" s="15"/>
      <c r="C33" s="15"/>
      <c r="D33" s="17"/>
      <c r="E33" s="13"/>
      <c r="F33" s="13">
        <f t="shared" si="0"/>
        <v>0</v>
      </c>
      <c r="G33" s="13"/>
    </row>
    <row r="34" spans="2:7" x14ac:dyDescent="0.3">
      <c r="B34" s="31"/>
      <c r="C34" s="31"/>
      <c r="D34" s="32"/>
      <c r="E34" s="33"/>
      <c r="F34" s="33">
        <f t="shared" si="0"/>
        <v>0</v>
      </c>
      <c r="G34" s="33"/>
    </row>
    <row r="35" spans="2:7" x14ac:dyDescent="0.3">
      <c r="B35" s="15"/>
      <c r="C35" s="21"/>
      <c r="D35" s="22"/>
      <c r="E35" s="23"/>
      <c r="F35" s="23">
        <f t="shared" si="0"/>
        <v>0</v>
      </c>
      <c r="G35" s="13"/>
    </row>
    <row r="36" spans="2:7" x14ac:dyDescent="0.3">
      <c r="B36" s="31"/>
      <c r="C36" s="31"/>
      <c r="D36" s="32"/>
      <c r="E36" s="33"/>
      <c r="F36" s="33">
        <f t="shared" si="0"/>
        <v>0</v>
      </c>
      <c r="G36" s="33"/>
    </row>
    <row r="37" spans="2:7" x14ac:dyDescent="0.3">
      <c r="B37" s="15"/>
      <c r="C37" s="15"/>
      <c r="D37" s="17"/>
      <c r="E37" s="13"/>
      <c r="F37" s="13">
        <f t="shared" si="0"/>
        <v>0</v>
      </c>
      <c r="G37" s="13"/>
    </row>
    <row r="38" spans="2:7" x14ac:dyDescent="0.3">
      <c r="B38" s="31"/>
      <c r="C38" s="31"/>
      <c r="D38" s="32"/>
      <c r="E38" s="33"/>
      <c r="F38" s="33">
        <f t="shared" si="0"/>
        <v>0</v>
      </c>
      <c r="G38" s="33"/>
    </row>
    <row r="39" spans="2:7" x14ac:dyDescent="0.3">
      <c r="B39" s="15"/>
      <c r="C39" s="15"/>
      <c r="D39" s="17"/>
      <c r="E39" s="13"/>
      <c r="F39" s="13">
        <f t="shared" si="0"/>
        <v>0</v>
      </c>
      <c r="G39" s="13"/>
    </row>
    <row r="40" spans="2:7" x14ac:dyDescent="0.3">
      <c r="B40" s="31"/>
      <c r="C40" s="31"/>
      <c r="D40" s="32"/>
      <c r="E40" s="33"/>
      <c r="F40" s="33">
        <f t="shared" si="0"/>
        <v>0</v>
      </c>
      <c r="G40" s="33"/>
    </row>
    <row r="41" spans="2:7" x14ac:dyDescent="0.3">
      <c r="B41" s="15"/>
      <c r="C41" s="21"/>
      <c r="D41" s="22"/>
      <c r="E41" s="23"/>
      <c r="F41" s="23">
        <f t="shared" si="0"/>
        <v>0</v>
      </c>
      <c r="G41" s="13"/>
    </row>
    <row r="42" spans="2:7" x14ac:dyDescent="0.3">
      <c r="B42" s="31"/>
      <c r="C42" s="31"/>
      <c r="D42" s="32"/>
      <c r="E42" s="33"/>
      <c r="F42" s="33">
        <f t="shared" si="0"/>
        <v>0</v>
      </c>
      <c r="G42" s="33"/>
    </row>
    <row r="43" spans="2:7" x14ac:dyDescent="0.3">
      <c r="B43" s="15"/>
      <c r="C43" s="15"/>
      <c r="D43" s="17"/>
      <c r="E43" s="13"/>
      <c r="F43" s="13">
        <f t="shared" si="0"/>
        <v>0</v>
      </c>
      <c r="G43" s="13"/>
    </row>
    <row r="44" spans="2:7" x14ac:dyDescent="0.3">
      <c r="B44" s="31"/>
      <c r="C44" s="31"/>
      <c r="D44" s="32"/>
      <c r="E44" s="33"/>
      <c r="F44" s="33">
        <f t="shared" si="0"/>
        <v>0</v>
      </c>
      <c r="G44" s="33"/>
    </row>
    <row r="45" spans="2:7" x14ac:dyDescent="0.3">
      <c r="B45" s="15"/>
      <c r="C45" s="15"/>
      <c r="D45" s="17"/>
      <c r="E45" s="13"/>
      <c r="F45" s="13">
        <f t="shared" si="0"/>
        <v>0</v>
      </c>
      <c r="G45" s="13"/>
    </row>
    <row r="46" spans="2:7" x14ac:dyDescent="0.3">
      <c r="B46" s="31"/>
      <c r="C46" s="31"/>
      <c r="D46" s="32"/>
      <c r="E46" s="33"/>
      <c r="F46" s="33">
        <f t="shared" si="0"/>
        <v>0</v>
      </c>
      <c r="G46" s="33"/>
    </row>
    <row r="47" spans="2:7" x14ac:dyDescent="0.3">
      <c r="B47" s="15"/>
      <c r="C47" s="21"/>
      <c r="D47" s="22"/>
      <c r="E47" s="23"/>
      <c r="F47" s="23">
        <f t="shared" si="0"/>
        <v>0</v>
      </c>
      <c r="G47" s="13"/>
    </row>
    <row r="48" spans="2:7" x14ac:dyDescent="0.3">
      <c r="B48" s="31"/>
      <c r="C48" s="31"/>
      <c r="D48" s="32"/>
      <c r="E48" s="33"/>
      <c r="F48" s="33">
        <f t="shared" si="0"/>
        <v>0</v>
      </c>
      <c r="G48" s="33"/>
    </row>
    <row r="49" spans="2:7" x14ac:dyDescent="0.3">
      <c r="B49" s="15"/>
      <c r="C49" s="15"/>
      <c r="D49" s="17"/>
      <c r="E49" s="13"/>
      <c r="F49" s="13">
        <f t="shared" si="0"/>
        <v>0</v>
      </c>
      <c r="G49" s="13"/>
    </row>
    <row r="50" spans="2:7" x14ac:dyDescent="0.3">
      <c r="B50" s="31"/>
      <c r="C50" s="31"/>
      <c r="D50" s="32"/>
      <c r="E50" s="33"/>
      <c r="F50" s="33">
        <f t="shared" si="0"/>
        <v>0</v>
      </c>
      <c r="G50" s="33"/>
    </row>
    <row r="51" spans="2:7" x14ac:dyDescent="0.3">
      <c r="B51" s="15"/>
      <c r="C51" s="15"/>
      <c r="D51" s="17"/>
      <c r="E51" s="13"/>
      <c r="F51" s="13">
        <f t="shared" si="0"/>
        <v>0</v>
      </c>
      <c r="G51" s="13"/>
    </row>
    <row r="52" spans="2:7" x14ac:dyDescent="0.3">
      <c r="B52" s="31"/>
      <c r="C52" s="31"/>
      <c r="D52" s="32"/>
      <c r="E52" s="33"/>
      <c r="F52" s="33">
        <f t="shared" si="0"/>
        <v>0</v>
      </c>
      <c r="G52" s="33"/>
    </row>
    <row r="53" spans="2:7" x14ac:dyDescent="0.3">
      <c r="B53" s="15"/>
      <c r="C53" s="21"/>
      <c r="D53" s="22"/>
      <c r="E53" s="23"/>
      <c r="F53" s="23">
        <f t="shared" si="0"/>
        <v>0</v>
      </c>
      <c r="G53" s="13"/>
    </row>
    <row r="54" spans="2:7" x14ac:dyDescent="0.3">
      <c r="B54" s="31"/>
      <c r="C54" s="31"/>
      <c r="D54" s="32"/>
      <c r="E54" s="33"/>
      <c r="F54" s="33">
        <f t="shared" si="0"/>
        <v>0</v>
      </c>
      <c r="G54" s="33"/>
    </row>
    <row r="55" spans="2:7" x14ac:dyDescent="0.3">
      <c r="B55" s="15"/>
      <c r="C55" s="15"/>
      <c r="D55" s="17"/>
      <c r="E55" s="13"/>
      <c r="F55" s="13">
        <f t="shared" si="0"/>
        <v>0</v>
      </c>
      <c r="G55" s="13"/>
    </row>
    <row r="56" spans="2:7" x14ac:dyDescent="0.3">
      <c r="B56" s="31"/>
      <c r="C56" s="31"/>
      <c r="D56" s="32"/>
      <c r="E56" s="33"/>
      <c r="F56" s="33">
        <f t="shared" si="0"/>
        <v>0</v>
      </c>
      <c r="G56" s="33"/>
    </row>
    <row r="57" spans="2:7" x14ac:dyDescent="0.3">
      <c r="B57" s="15"/>
      <c r="C57" s="15"/>
      <c r="D57" s="17"/>
      <c r="E57" s="13"/>
      <c r="F57" s="13">
        <f t="shared" si="0"/>
        <v>0</v>
      </c>
      <c r="G57" s="13"/>
    </row>
    <row r="58" spans="2:7" x14ac:dyDescent="0.3">
      <c r="B58" s="31"/>
      <c r="C58" s="31"/>
      <c r="D58" s="32"/>
      <c r="E58" s="33"/>
      <c r="F58" s="33">
        <f t="shared" si="0"/>
        <v>0</v>
      </c>
      <c r="G58" s="33"/>
    </row>
    <row r="59" spans="2:7" x14ac:dyDescent="0.3">
      <c r="B59" s="15"/>
      <c r="C59" s="21"/>
      <c r="D59" s="22"/>
      <c r="E59" s="23"/>
      <c r="F59" s="23">
        <f t="shared" si="0"/>
        <v>0</v>
      </c>
      <c r="G59" s="13"/>
    </row>
    <row r="60" spans="2:7" x14ac:dyDescent="0.3">
      <c r="B60" s="31"/>
      <c r="C60" s="31"/>
      <c r="D60" s="32"/>
      <c r="E60" s="33"/>
      <c r="F60" s="33">
        <f t="shared" si="0"/>
        <v>0</v>
      </c>
      <c r="G60" s="33"/>
    </row>
    <row r="61" spans="2:7" x14ac:dyDescent="0.3">
      <c r="B61" s="15"/>
      <c r="C61" s="15"/>
      <c r="D61" s="17"/>
      <c r="E61" s="13"/>
      <c r="F61" s="13">
        <f t="shared" si="0"/>
        <v>0</v>
      </c>
      <c r="G61" s="13"/>
    </row>
    <row r="62" spans="2:7" x14ac:dyDescent="0.3">
      <c r="B62" s="31"/>
      <c r="C62" s="31"/>
      <c r="D62" s="32"/>
      <c r="E62" s="33"/>
      <c r="F62" s="33">
        <f t="shared" si="0"/>
        <v>0</v>
      </c>
      <c r="G62" s="33"/>
    </row>
    <row r="63" spans="2:7" x14ac:dyDescent="0.3">
      <c r="B63" s="15"/>
      <c r="C63" s="15"/>
      <c r="D63" s="17"/>
      <c r="E63" s="13"/>
      <c r="F63" s="13">
        <f t="shared" si="0"/>
        <v>0</v>
      </c>
      <c r="G63" s="13"/>
    </row>
    <row r="64" spans="2:7" x14ac:dyDescent="0.3">
      <c r="B64" s="31"/>
      <c r="C64" s="31"/>
      <c r="D64" s="32"/>
      <c r="E64" s="33"/>
      <c r="F64" s="33">
        <f t="shared" si="0"/>
        <v>0</v>
      </c>
      <c r="G64" s="33"/>
    </row>
    <row r="65" spans="2:7" x14ac:dyDescent="0.3">
      <c r="B65" s="15"/>
      <c r="C65" s="21"/>
      <c r="D65" s="22"/>
      <c r="E65" s="23"/>
      <c r="F65" s="23">
        <f t="shared" si="0"/>
        <v>0</v>
      </c>
      <c r="G65" s="13"/>
    </row>
    <row r="66" spans="2:7" x14ac:dyDescent="0.3">
      <c r="B66" s="31"/>
      <c r="C66" s="31"/>
      <c r="D66" s="32"/>
      <c r="E66" s="33"/>
      <c r="F66" s="33">
        <f t="shared" si="0"/>
        <v>0</v>
      </c>
      <c r="G66" s="33"/>
    </row>
    <row r="67" spans="2:7" x14ac:dyDescent="0.3">
      <c r="B67" s="15"/>
      <c r="C67" s="15"/>
      <c r="D67" s="17"/>
      <c r="E67" s="13"/>
      <c r="F67" s="13">
        <f t="shared" si="0"/>
        <v>0</v>
      </c>
      <c r="G67" s="13"/>
    </row>
    <row r="68" spans="2:7" x14ac:dyDescent="0.3">
      <c r="B68" s="31"/>
      <c r="C68" s="31"/>
      <c r="D68" s="32"/>
      <c r="E68" s="33"/>
      <c r="F68" s="33">
        <f t="shared" si="0"/>
        <v>0</v>
      </c>
      <c r="G68" s="33"/>
    </row>
    <row r="69" spans="2:7" x14ac:dyDescent="0.3">
      <c r="B69" s="15"/>
      <c r="C69" s="15"/>
      <c r="D69" s="17"/>
      <c r="E69" s="13"/>
      <c r="F69" s="13">
        <f t="shared" si="0"/>
        <v>0</v>
      </c>
      <c r="G69" s="13"/>
    </row>
    <row r="70" spans="2:7" x14ac:dyDescent="0.3">
      <c r="B70" s="31"/>
      <c r="C70" s="31"/>
      <c r="D70" s="32"/>
      <c r="E70" s="33"/>
      <c r="F70" s="33">
        <f t="shared" si="0"/>
        <v>0</v>
      </c>
      <c r="G70" s="33"/>
    </row>
    <row r="71" spans="2:7" x14ac:dyDescent="0.3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3">
      <c r="B72" s="31"/>
      <c r="C72" s="31"/>
      <c r="D72" s="32"/>
      <c r="E72" s="33"/>
      <c r="F72" s="33">
        <f t="shared" si="1"/>
        <v>0</v>
      </c>
      <c r="G72" s="33"/>
    </row>
    <row r="73" spans="2:7" x14ac:dyDescent="0.3">
      <c r="B73" s="15"/>
      <c r="C73" s="15"/>
      <c r="D73" s="17"/>
      <c r="E73" s="13"/>
      <c r="F73" s="13">
        <f t="shared" si="1"/>
        <v>0</v>
      </c>
      <c r="G73" s="13"/>
    </row>
    <row r="74" spans="2:7" x14ac:dyDescent="0.3">
      <c r="B74" s="31"/>
      <c r="C74" s="31"/>
      <c r="D74" s="32"/>
      <c r="E74" s="33"/>
      <c r="F74" s="33">
        <f t="shared" si="1"/>
        <v>0</v>
      </c>
      <c r="G74" s="33"/>
    </row>
    <row r="75" spans="2:7" x14ac:dyDescent="0.3">
      <c r="B75" s="15"/>
      <c r="C75" s="15"/>
      <c r="D75" s="17"/>
      <c r="E75" s="13"/>
      <c r="F75" s="13">
        <f t="shared" si="1"/>
        <v>0</v>
      </c>
      <c r="G75" s="13"/>
    </row>
    <row r="76" spans="2:7" x14ac:dyDescent="0.3">
      <c r="B76" s="31"/>
      <c r="C76" s="31"/>
      <c r="D76" s="32"/>
      <c r="E76" s="33"/>
      <c r="F76" s="33">
        <f t="shared" si="1"/>
        <v>0</v>
      </c>
      <c r="G76" s="33"/>
    </row>
    <row r="77" spans="2:7" x14ac:dyDescent="0.3">
      <c r="B77" s="15"/>
      <c r="C77" s="21"/>
      <c r="D77" s="22"/>
      <c r="E77" s="23"/>
      <c r="F77" s="23">
        <f t="shared" si="1"/>
        <v>0</v>
      </c>
      <c r="G77" s="13"/>
    </row>
    <row r="78" spans="2:7" x14ac:dyDescent="0.3">
      <c r="B78" s="31"/>
      <c r="C78" s="31"/>
      <c r="D78" s="32"/>
      <c r="E78" s="33"/>
      <c r="F78" s="33">
        <f t="shared" si="1"/>
        <v>0</v>
      </c>
      <c r="G78" s="33"/>
    </row>
    <row r="79" spans="2:7" x14ac:dyDescent="0.3">
      <c r="B79" s="15"/>
      <c r="C79" s="15"/>
      <c r="D79" s="17"/>
      <c r="E79" s="13"/>
      <c r="F79" s="13">
        <f t="shared" si="1"/>
        <v>0</v>
      </c>
      <c r="G79" s="13"/>
    </row>
    <row r="80" spans="2:7" x14ac:dyDescent="0.3">
      <c r="B80" s="31"/>
      <c r="C80" s="31"/>
      <c r="D80" s="32"/>
      <c r="E80" s="33"/>
      <c r="F80" s="33">
        <f t="shared" si="1"/>
        <v>0</v>
      </c>
      <c r="G80" s="33"/>
    </row>
    <row r="81" spans="2:7" x14ac:dyDescent="0.3">
      <c r="B81" s="15"/>
      <c r="C81" s="15"/>
      <c r="D81" s="17"/>
      <c r="E81" s="13"/>
      <c r="F81" s="13">
        <f t="shared" si="1"/>
        <v>0</v>
      </c>
      <c r="G81" s="13"/>
    </row>
    <row r="82" spans="2:7" x14ac:dyDescent="0.3">
      <c r="B82" s="31"/>
      <c r="C82" s="31"/>
      <c r="D82" s="32"/>
      <c r="E82" s="33"/>
      <c r="F82" s="33">
        <f t="shared" si="1"/>
        <v>0</v>
      </c>
      <c r="G82" s="33"/>
    </row>
    <row r="83" spans="2:7" x14ac:dyDescent="0.3">
      <c r="B83" s="15"/>
      <c r="C83" s="21"/>
      <c r="D83" s="22"/>
      <c r="E83" s="23"/>
      <c r="F83" s="23">
        <f t="shared" si="1"/>
        <v>0</v>
      </c>
      <c r="G83" s="13"/>
    </row>
    <row r="84" spans="2:7" x14ac:dyDescent="0.3">
      <c r="B84" s="31"/>
      <c r="C84" s="31"/>
      <c r="D84" s="32"/>
      <c r="E84" s="33"/>
      <c r="F84" s="33">
        <f t="shared" si="1"/>
        <v>0</v>
      </c>
      <c r="G84" s="33"/>
    </row>
    <row r="85" spans="2:7" x14ac:dyDescent="0.3">
      <c r="B85" s="15"/>
      <c r="C85" s="15"/>
      <c r="D85" s="17"/>
      <c r="E85" s="13"/>
      <c r="F85" s="13">
        <f t="shared" si="1"/>
        <v>0</v>
      </c>
      <c r="G85" s="13"/>
    </row>
    <row r="86" spans="2:7" x14ac:dyDescent="0.3">
      <c r="B86" s="31"/>
      <c r="C86" s="31"/>
      <c r="D86" s="32"/>
      <c r="E86" s="33"/>
      <c r="F86" s="33">
        <f t="shared" si="1"/>
        <v>0</v>
      </c>
      <c r="G86" s="33"/>
    </row>
    <row r="87" spans="2:7" x14ac:dyDescent="0.3">
      <c r="B87" s="15"/>
      <c r="C87" s="15"/>
      <c r="D87" s="17"/>
      <c r="E87" s="13"/>
      <c r="F87" s="13">
        <f t="shared" si="1"/>
        <v>0</v>
      </c>
      <c r="G87" s="13"/>
    </row>
    <row r="88" spans="2:7" x14ac:dyDescent="0.3">
      <c r="B88" s="31"/>
      <c r="C88" s="31"/>
      <c r="D88" s="32"/>
      <c r="E88" s="33"/>
      <c r="F88" s="33">
        <f t="shared" si="1"/>
        <v>0</v>
      </c>
      <c r="G88" s="33"/>
    </row>
    <row r="89" spans="2:7" x14ac:dyDescent="0.3">
      <c r="B89" s="15"/>
      <c r="C89" s="21"/>
      <c r="D89" s="22"/>
      <c r="E89" s="23"/>
      <c r="F89" s="23">
        <f t="shared" si="1"/>
        <v>0</v>
      </c>
      <c r="G89" s="13"/>
    </row>
    <row r="90" spans="2:7" x14ac:dyDescent="0.3">
      <c r="B90" s="31"/>
      <c r="C90" s="31"/>
      <c r="D90" s="32"/>
      <c r="E90" s="33"/>
      <c r="F90" s="33">
        <f t="shared" si="1"/>
        <v>0</v>
      </c>
      <c r="G90" s="33"/>
    </row>
    <row r="91" spans="2:7" x14ac:dyDescent="0.3">
      <c r="B91" s="15"/>
      <c r="C91" s="15"/>
      <c r="D91" s="17"/>
      <c r="E91" s="13"/>
      <c r="F91" s="13">
        <f t="shared" si="1"/>
        <v>0</v>
      </c>
      <c r="G91" s="13"/>
    </row>
    <row r="92" spans="2:7" x14ac:dyDescent="0.3">
      <c r="B92" s="31"/>
      <c r="C92" s="31"/>
      <c r="D92" s="32"/>
      <c r="E92" s="33"/>
      <c r="F92" s="33">
        <f t="shared" si="1"/>
        <v>0</v>
      </c>
      <c r="G92" s="33"/>
    </row>
    <row r="93" spans="2:7" x14ac:dyDescent="0.3">
      <c r="B93" s="15"/>
      <c r="C93" s="15"/>
      <c r="D93" s="17"/>
      <c r="E93" s="13"/>
      <c r="F93" s="13">
        <f t="shared" si="1"/>
        <v>0</v>
      </c>
      <c r="G93" s="13"/>
    </row>
    <row r="94" spans="2:7" x14ac:dyDescent="0.3">
      <c r="B94" s="31"/>
      <c r="C94" s="31"/>
      <c r="D94" s="32"/>
      <c r="E94" s="33"/>
      <c r="F94" s="33">
        <f t="shared" si="1"/>
        <v>0</v>
      </c>
      <c r="G94" s="33"/>
    </row>
    <row r="95" spans="2:7" x14ac:dyDescent="0.3">
      <c r="B95" s="15"/>
      <c r="C95" s="21"/>
      <c r="D95" s="22"/>
      <c r="E95" s="23"/>
      <c r="F95" s="23">
        <f t="shared" si="1"/>
        <v>0</v>
      </c>
      <c r="G95" s="13"/>
    </row>
    <row r="96" spans="2:7" x14ac:dyDescent="0.3">
      <c r="B96" s="31"/>
      <c r="C96" s="31"/>
      <c r="D96" s="32"/>
      <c r="E96" s="33"/>
      <c r="F96" s="33">
        <f t="shared" si="1"/>
        <v>0</v>
      </c>
      <c r="G96" s="33"/>
    </row>
    <row r="97" spans="2:7" x14ac:dyDescent="0.3">
      <c r="B97" s="15"/>
      <c r="C97" s="15"/>
      <c r="D97" s="17"/>
      <c r="E97" s="13"/>
      <c r="F97" s="13">
        <f t="shared" si="1"/>
        <v>0</v>
      </c>
      <c r="G97" s="13"/>
    </row>
    <row r="98" spans="2:7" x14ac:dyDescent="0.3">
      <c r="B98" s="31"/>
      <c r="C98" s="31"/>
      <c r="D98" s="32"/>
      <c r="E98" s="33"/>
      <c r="F98" s="33">
        <f t="shared" si="1"/>
        <v>0</v>
      </c>
      <c r="G98" s="33"/>
    </row>
    <row r="99" spans="2:7" x14ac:dyDescent="0.3">
      <c r="B99" s="15"/>
      <c r="C99" s="15"/>
      <c r="D99" s="17"/>
      <c r="E99" s="13"/>
      <c r="F99" s="13">
        <f t="shared" si="1"/>
        <v>0</v>
      </c>
      <c r="G99" s="13"/>
    </row>
    <row r="100" spans="2:7" x14ac:dyDescent="0.3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3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3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3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3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3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3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3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3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3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3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3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3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3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3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3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3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3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3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3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3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3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3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3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3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3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3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3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3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3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3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3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3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3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3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3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3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3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3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3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3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3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3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3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3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3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3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3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3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3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3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3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3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3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3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3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3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3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3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3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3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3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3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3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3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3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3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3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3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3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3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3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3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3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3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3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3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3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3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3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3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3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3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3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3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3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3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3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3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3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3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3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3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3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3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3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3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3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3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3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3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3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3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3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3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3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3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3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3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3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3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3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3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3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3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3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3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3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3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3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3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3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3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3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3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3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3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3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3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3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3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3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3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3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3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3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3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3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3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3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3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3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3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3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3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3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3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3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3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3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3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3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3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3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3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3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3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3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3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3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3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3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3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3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3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3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3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3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3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3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3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3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3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3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3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3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3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3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3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3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3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3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3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3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3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3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3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3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3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3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3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3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3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3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3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3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3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3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3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3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3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3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3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3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3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3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3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3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3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3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3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3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3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3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3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3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3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3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3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3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3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3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3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3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3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3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3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3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3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3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3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3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3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3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3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3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3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3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3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3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3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3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3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3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3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3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3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3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3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3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3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3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3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3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3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3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3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3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3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3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3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3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3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3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3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3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3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3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3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3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3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3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3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3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3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3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3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3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3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3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3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3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3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3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3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3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3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3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3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3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3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3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3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3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3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3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3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3">
      <c r="B397" s="15"/>
      <c r="C397" s="15"/>
      <c r="D397" s="17"/>
      <c r="E397" s="13"/>
      <c r="F397" s="13"/>
      <c r="G397" s="13"/>
    </row>
    <row r="398" spans="2:7" x14ac:dyDescent="0.3">
      <c r="B398" s="31"/>
      <c r="C398" s="31"/>
      <c r="D398" s="32"/>
      <c r="E398" s="33"/>
      <c r="F398" s="33"/>
      <c r="G398" s="33"/>
    </row>
    <row r="401" spans="2:8" x14ac:dyDescent="0.3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3">
      <c r="D403" s="84" t="s">
        <v>53</v>
      </c>
      <c r="E403" s="29">
        <v>0.1</v>
      </c>
    </row>
    <row r="404" spans="2:8" x14ac:dyDescent="0.3">
      <c r="D404" s="36" t="s">
        <v>18</v>
      </c>
      <c r="E404" s="33">
        <v>110</v>
      </c>
    </row>
    <row r="405" spans="2:8" x14ac:dyDescent="0.3">
      <c r="D405" s="24" t="s">
        <v>19</v>
      </c>
      <c r="E405" s="30">
        <v>0.4</v>
      </c>
    </row>
    <row r="406" spans="2:8" x14ac:dyDescent="0.3">
      <c r="D406" s="36" t="s">
        <v>23</v>
      </c>
      <c r="E406" s="34">
        <v>0.2</v>
      </c>
      <c r="G406" s="86"/>
    </row>
    <row r="407" spans="2:8" x14ac:dyDescent="0.3">
      <c r="F407" s="27"/>
    </row>
    <row r="408" spans="2:8" x14ac:dyDescent="0.3">
      <c r="F408" s="27"/>
    </row>
    <row r="409" spans="2:8" x14ac:dyDescent="0.3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3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3">
      <c r="F411" s="27"/>
      <c r="G411" s="88" t="s">
        <v>57</v>
      </c>
      <c r="H411" s="90">
        <v>8.8749999999999996E-2</v>
      </c>
    </row>
    <row r="412" spans="2:8" x14ac:dyDescent="0.3">
      <c r="F412" s="27"/>
    </row>
    <row r="413" spans="2:8" x14ac:dyDescent="0.3">
      <c r="D413" s="37" t="s">
        <v>17</v>
      </c>
      <c r="E413" s="28">
        <f>F401*(1+E403)</f>
        <v>0</v>
      </c>
    </row>
    <row r="414" spans="2:8" x14ac:dyDescent="0.3">
      <c r="D414" s="36" t="s">
        <v>20</v>
      </c>
      <c r="E414" s="35">
        <f>B401*E404</f>
        <v>0</v>
      </c>
    </row>
    <row r="415" spans="2:8" x14ac:dyDescent="0.3">
      <c r="D415" s="37" t="s">
        <v>21</v>
      </c>
      <c r="E415" s="28">
        <f>E414*E405</f>
        <v>0</v>
      </c>
    </row>
    <row r="416" spans="2:8" x14ac:dyDescent="0.3">
      <c r="D416" s="38" t="s">
        <v>22</v>
      </c>
      <c r="E416" s="35">
        <f>E414*E406</f>
        <v>0</v>
      </c>
    </row>
    <row r="417" spans="4:8" x14ac:dyDescent="0.3">
      <c r="D417" s="39" t="s">
        <v>28</v>
      </c>
      <c r="E417" s="40">
        <f>SUM(E413:E416)</f>
        <v>0</v>
      </c>
    </row>
    <row r="420" spans="4:8" x14ac:dyDescent="0.3">
      <c r="D420" s="24" t="s">
        <v>24</v>
      </c>
      <c r="E420" s="44">
        <v>0.4</v>
      </c>
    </row>
    <row r="421" spans="4:8" x14ac:dyDescent="0.3">
      <c r="D421" s="39" t="s">
        <v>25</v>
      </c>
      <c r="E421" s="41">
        <f>E417*(1+E420)</f>
        <v>0</v>
      </c>
    </row>
    <row r="422" spans="4:8" x14ac:dyDescent="0.3">
      <c r="D422" s="26"/>
    </row>
    <row r="424" spans="4:8" x14ac:dyDescent="0.3">
      <c r="D424" s="84" t="s">
        <v>47</v>
      </c>
      <c r="E424" s="13"/>
    </row>
    <row r="425" spans="4:8" x14ac:dyDescent="0.3">
      <c r="D425" s="83" t="s">
        <v>50</v>
      </c>
      <c r="E425" s="33"/>
    </row>
    <row r="426" spans="4:8" x14ac:dyDescent="0.3">
      <c r="D426" s="84" t="s">
        <v>49</v>
      </c>
      <c r="E426" s="44">
        <v>0.25</v>
      </c>
    </row>
    <row r="427" spans="4:8" x14ac:dyDescent="0.3">
      <c r="D427" s="39" t="s">
        <v>51</v>
      </c>
      <c r="E427" s="41">
        <f>(E424+E425)*(1+E426)</f>
        <v>0</v>
      </c>
    </row>
    <row r="430" spans="4:8" x14ac:dyDescent="0.3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3">
      <c r="D431" s="36" t="s">
        <v>26</v>
      </c>
      <c r="E431" s="33">
        <f>G401*(1+E430)</f>
        <v>0</v>
      </c>
      <c r="G431" s="13"/>
      <c r="H431" s="13"/>
    </row>
    <row r="432" spans="4:8" x14ac:dyDescent="0.3">
      <c r="D432" s="24" t="s">
        <v>27</v>
      </c>
      <c r="E432" s="44">
        <v>0.25</v>
      </c>
      <c r="G432" s="33"/>
      <c r="H432" s="33"/>
    </row>
    <row r="433" spans="4:8" x14ac:dyDescent="0.3">
      <c r="D433" s="39" t="s">
        <v>29</v>
      </c>
      <c r="E433" s="41">
        <f>E431*(1+E432)</f>
        <v>0</v>
      </c>
      <c r="G433" s="13"/>
      <c r="H433" s="13"/>
    </row>
    <row r="434" spans="4:8" x14ac:dyDescent="0.3">
      <c r="D434" s="19"/>
      <c r="E434" s="18"/>
      <c r="G434" s="33"/>
      <c r="H434" s="33"/>
    </row>
    <row r="435" spans="4:8" x14ac:dyDescent="0.3">
      <c r="G435" s="13"/>
      <c r="H435" s="13"/>
    </row>
    <row r="436" spans="4:8" x14ac:dyDescent="0.3">
      <c r="D436" s="42" t="s">
        <v>10</v>
      </c>
      <c r="E436" s="43">
        <f>E421+E433+E410+E427</f>
        <v>0</v>
      </c>
    </row>
    <row r="437" spans="4:8" x14ac:dyDescent="0.3">
      <c r="D437" s="82" t="s">
        <v>43</v>
      </c>
      <c r="E437" s="46" t="e">
        <f>(E436-(E431+E417))/E436</f>
        <v>#DIV/0!</v>
      </c>
    </row>
    <row r="438" spans="4:8" x14ac:dyDescent="0.3">
      <c r="D438" s="20"/>
    </row>
    <row r="440" spans="4:8" x14ac:dyDescent="0.3">
      <c r="D440" s="25" t="s">
        <v>30</v>
      </c>
      <c r="E440" s="30">
        <v>0.15</v>
      </c>
    </row>
    <row r="441" spans="4:8" x14ac:dyDescent="0.3">
      <c r="D441" s="81" t="s">
        <v>42</v>
      </c>
      <c r="E441" s="43">
        <f>E436*(1+E440)</f>
        <v>0</v>
      </c>
    </row>
    <row r="442" spans="4:8" x14ac:dyDescent="0.3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BB7F-CA45-4EC4-B996-16210A390359}">
  <dimension ref="B4:H442"/>
  <sheetViews>
    <sheetView showGridLines="0" topLeftCell="A403" zoomScale="85" zoomScaleNormal="85" workbookViewId="0">
      <selection activeCell="E436" sqref="E436"/>
    </sheetView>
  </sheetViews>
  <sheetFormatPr defaultRowHeight="14.4" x14ac:dyDescent="0.3"/>
  <cols>
    <col min="1" max="1" width="8.44140625" customWidth="1"/>
    <col min="2" max="2" width="12.5546875" style="16" customWidth="1"/>
    <col min="3" max="3" width="11.5546875" style="16" customWidth="1"/>
    <col min="4" max="4" width="107.33203125" customWidth="1"/>
    <col min="5" max="5" width="15.5546875" style="14" customWidth="1"/>
    <col min="6" max="6" width="15.88671875" style="14" customWidth="1"/>
    <col min="7" max="7" width="16.6640625" style="14" customWidth="1"/>
    <col min="8" max="8" width="14.21875" customWidth="1"/>
  </cols>
  <sheetData>
    <row r="4" spans="2:7" x14ac:dyDescent="0.3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3">
      <c r="B5" s="15"/>
      <c r="C5" s="21"/>
      <c r="D5" s="22"/>
      <c r="E5" s="23"/>
      <c r="F5" s="23"/>
      <c r="G5" s="13"/>
    </row>
    <row r="6" spans="2:7" x14ac:dyDescent="0.3">
      <c r="B6" s="31"/>
      <c r="C6" s="31"/>
      <c r="D6" s="32"/>
      <c r="E6" s="33"/>
      <c r="F6" s="33">
        <f>E6*C6</f>
        <v>0</v>
      </c>
      <c r="G6" s="33"/>
    </row>
    <row r="7" spans="2:7" x14ac:dyDescent="0.3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3">
      <c r="B8" s="31"/>
      <c r="C8" s="31"/>
      <c r="D8" s="32"/>
      <c r="E8" s="33"/>
      <c r="F8" s="33">
        <f t="shared" si="0"/>
        <v>0</v>
      </c>
      <c r="G8" s="33"/>
    </row>
    <row r="9" spans="2:7" x14ac:dyDescent="0.3">
      <c r="B9" s="15"/>
      <c r="C9" s="15"/>
      <c r="D9" s="17"/>
      <c r="E9" s="13"/>
      <c r="F9" s="13">
        <f t="shared" si="0"/>
        <v>0</v>
      </c>
      <c r="G9" s="13"/>
    </row>
    <row r="10" spans="2:7" x14ac:dyDescent="0.3">
      <c r="B10" s="31"/>
      <c r="C10" s="31"/>
      <c r="D10" s="32"/>
      <c r="E10" s="33"/>
      <c r="F10" s="33">
        <f t="shared" si="0"/>
        <v>0</v>
      </c>
      <c r="G10" s="33"/>
    </row>
    <row r="11" spans="2:7" x14ac:dyDescent="0.3">
      <c r="B11" s="15"/>
      <c r="C11" s="21"/>
      <c r="D11" s="22"/>
      <c r="E11" s="23"/>
      <c r="F11" s="23">
        <f t="shared" si="0"/>
        <v>0</v>
      </c>
      <c r="G11" s="13"/>
    </row>
    <row r="12" spans="2:7" x14ac:dyDescent="0.3">
      <c r="B12" s="31"/>
      <c r="C12" s="31"/>
      <c r="D12" s="32"/>
      <c r="E12" s="33"/>
      <c r="F12" s="33">
        <f t="shared" si="0"/>
        <v>0</v>
      </c>
      <c r="G12" s="33"/>
    </row>
    <row r="13" spans="2:7" x14ac:dyDescent="0.3">
      <c r="B13" s="15"/>
      <c r="C13" s="15"/>
      <c r="D13" s="17"/>
      <c r="E13" s="13"/>
      <c r="F13" s="13">
        <f t="shared" si="0"/>
        <v>0</v>
      </c>
      <c r="G13" s="13"/>
    </row>
    <row r="14" spans="2:7" x14ac:dyDescent="0.3">
      <c r="B14" s="31"/>
      <c r="C14" s="31"/>
      <c r="D14" s="32"/>
      <c r="E14" s="33"/>
      <c r="F14" s="33">
        <f t="shared" si="0"/>
        <v>0</v>
      </c>
      <c r="G14" s="33"/>
    </row>
    <row r="15" spans="2:7" x14ac:dyDescent="0.3">
      <c r="B15" s="15"/>
      <c r="C15" s="15"/>
      <c r="D15" s="17"/>
      <c r="E15" s="13"/>
      <c r="F15" s="13">
        <f t="shared" si="0"/>
        <v>0</v>
      </c>
      <c r="G15" s="13"/>
    </row>
    <row r="16" spans="2:7" x14ac:dyDescent="0.3">
      <c r="B16" s="31"/>
      <c r="C16" s="31"/>
      <c r="D16" s="32"/>
      <c r="E16" s="33"/>
      <c r="F16" s="33">
        <f t="shared" si="0"/>
        <v>0</v>
      </c>
      <c r="G16" s="33"/>
    </row>
    <row r="17" spans="2:7" x14ac:dyDescent="0.3">
      <c r="B17" s="15"/>
      <c r="C17" s="21"/>
      <c r="D17" s="22"/>
      <c r="E17" s="23"/>
      <c r="F17" s="23">
        <f t="shared" si="0"/>
        <v>0</v>
      </c>
      <c r="G17" s="13"/>
    </row>
    <row r="18" spans="2:7" x14ac:dyDescent="0.3">
      <c r="B18" s="31"/>
      <c r="C18" s="31"/>
      <c r="D18" s="32"/>
      <c r="E18" s="33"/>
      <c r="F18" s="33">
        <f t="shared" si="0"/>
        <v>0</v>
      </c>
      <c r="G18" s="33"/>
    </row>
    <row r="19" spans="2:7" x14ac:dyDescent="0.3">
      <c r="B19" s="15"/>
      <c r="C19" s="15"/>
      <c r="D19" s="17"/>
      <c r="E19" s="13"/>
      <c r="F19" s="13">
        <f t="shared" si="0"/>
        <v>0</v>
      </c>
      <c r="G19" s="13"/>
    </row>
    <row r="20" spans="2:7" x14ac:dyDescent="0.3">
      <c r="B20" s="31"/>
      <c r="C20" s="31"/>
      <c r="D20" s="32"/>
      <c r="E20" s="33"/>
      <c r="F20" s="33">
        <f t="shared" si="0"/>
        <v>0</v>
      </c>
      <c r="G20" s="33"/>
    </row>
    <row r="21" spans="2:7" x14ac:dyDescent="0.3">
      <c r="B21" s="15"/>
      <c r="C21" s="15"/>
      <c r="D21" s="17"/>
      <c r="E21" s="13"/>
      <c r="F21" s="13">
        <f t="shared" si="0"/>
        <v>0</v>
      </c>
      <c r="G21" s="13"/>
    </row>
    <row r="22" spans="2:7" x14ac:dyDescent="0.3">
      <c r="B22" s="31"/>
      <c r="C22" s="31"/>
      <c r="D22" s="32"/>
      <c r="E22" s="33"/>
      <c r="F22" s="33">
        <f t="shared" si="0"/>
        <v>0</v>
      </c>
      <c r="G22" s="33"/>
    </row>
    <row r="23" spans="2:7" x14ac:dyDescent="0.3">
      <c r="B23" s="15"/>
      <c r="C23" s="21"/>
      <c r="D23" s="22"/>
      <c r="E23" s="23"/>
      <c r="F23" s="23">
        <f t="shared" si="0"/>
        <v>0</v>
      </c>
      <c r="G23" s="13"/>
    </row>
    <row r="24" spans="2:7" x14ac:dyDescent="0.3">
      <c r="B24" s="31"/>
      <c r="C24" s="31"/>
      <c r="D24" s="32"/>
      <c r="E24" s="33"/>
      <c r="F24" s="33">
        <f t="shared" si="0"/>
        <v>0</v>
      </c>
      <c r="G24" s="33"/>
    </row>
    <row r="25" spans="2:7" x14ac:dyDescent="0.3">
      <c r="B25" s="15"/>
      <c r="C25" s="15"/>
      <c r="D25" s="17"/>
      <c r="E25" s="13"/>
      <c r="F25" s="13">
        <f t="shared" si="0"/>
        <v>0</v>
      </c>
      <c r="G25" s="13"/>
    </row>
    <row r="26" spans="2:7" x14ac:dyDescent="0.3">
      <c r="B26" s="31"/>
      <c r="C26" s="31"/>
      <c r="D26" s="32"/>
      <c r="E26" s="33"/>
      <c r="F26" s="33">
        <f t="shared" si="0"/>
        <v>0</v>
      </c>
      <c r="G26" s="33"/>
    </row>
    <row r="27" spans="2:7" x14ac:dyDescent="0.3">
      <c r="B27" s="15"/>
      <c r="C27" s="15"/>
      <c r="D27" s="17"/>
      <c r="E27" s="13"/>
      <c r="F27" s="13">
        <f t="shared" si="0"/>
        <v>0</v>
      </c>
      <c r="G27" s="13"/>
    </row>
    <row r="28" spans="2:7" x14ac:dyDescent="0.3">
      <c r="B28" s="31"/>
      <c r="C28" s="31"/>
      <c r="D28" s="32"/>
      <c r="E28" s="33"/>
      <c r="F28" s="33">
        <f t="shared" si="0"/>
        <v>0</v>
      </c>
      <c r="G28" s="33"/>
    </row>
    <row r="29" spans="2:7" x14ac:dyDescent="0.3">
      <c r="B29" s="15"/>
      <c r="C29" s="21"/>
      <c r="D29" s="22"/>
      <c r="E29" s="23"/>
      <c r="F29" s="23">
        <f t="shared" si="0"/>
        <v>0</v>
      </c>
      <c r="G29" s="13"/>
    </row>
    <row r="30" spans="2:7" x14ac:dyDescent="0.3">
      <c r="B30" s="31"/>
      <c r="C30" s="31"/>
      <c r="D30" s="32"/>
      <c r="E30" s="33"/>
      <c r="F30" s="33">
        <f t="shared" si="0"/>
        <v>0</v>
      </c>
      <c r="G30" s="33"/>
    </row>
    <row r="31" spans="2:7" x14ac:dyDescent="0.3">
      <c r="B31" s="15"/>
      <c r="C31" s="15"/>
      <c r="D31" s="17"/>
      <c r="E31" s="13"/>
      <c r="F31" s="13">
        <f t="shared" si="0"/>
        <v>0</v>
      </c>
      <c r="G31" s="13"/>
    </row>
    <row r="32" spans="2:7" x14ac:dyDescent="0.3">
      <c r="B32" s="31"/>
      <c r="C32" s="31"/>
      <c r="D32" s="32"/>
      <c r="E32" s="33"/>
      <c r="F32" s="33">
        <f t="shared" si="0"/>
        <v>0</v>
      </c>
      <c r="G32" s="33"/>
    </row>
    <row r="33" spans="2:7" x14ac:dyDescent="0.3">
      <c r="B33" s="15"/>
      <c r="C33" s="15"/>
      <c r="D33" s="17"/>
      <c r="E33" s="13"/>
      <c r="F33" s="13">
        <f t="shared" si="0"/>
        <v>0</v>
      </c>
      <c r="G33" s="13"/>
    </row>
    <row r="34" spans="2:7" x14ac:dyDescent="0.3">
      <c r="B34" s="31"/>
      <c r="C34" s="31"/>
      <c r="D34" s="32"/>
      <c r="E34" s="33"/>
      <c r="F34" s="33">
        <f t="shared" si="0"/>
        <v>0</v>
      </c>
      <c r="G34" s="33"/>
    </row>
    <row r="35" spans="2:7" x14ac:dyDescent="0.3">
      <c r="B35" s="15"/>
      <c r="C35" s="21"/>
      <c r="D35" s="22"/>
      <c r="E35" s="23"/>
      <c r="F35" s="23">
        <f t="shared" si="0"/>
        <v>0</v>
      </c>
      <c r="G35" s="13"/>
    </row>
    <row r="36" spans="2:7" x14ac:dyDescent="0.3">
      <c r="B36" s="31"/>
      <c r="C36" s="31"/>
      <c r="D36" s="32"/>
      <c r="E36" s="33"/>
      <c r="F36" s="33">
        <f t="shared" si="0"/>
        <v>0</v>
      </c>
      <c r="G36" s="33"/>
    </row>
    <row r="37" spans="2:7" x14ac:dyDescent="0.3">
      <c r="B37" s="15"/>
      <c r="C37" s="15"/>
      <c r="D37" s="17"/>
      <c r="E37" s="13"/>
      <c r="F37" s="13">
        <f t="shared" si="0"/>
        <v>0</v>
      </c>
      <c r="G37" s="13"/>
    </row>
    <row r="38" spans="2:7" x14ac:dyDescent="0.3">
      <c r="B38" s="31"/>
      <c r="C38" s="31"/>
      <c r="D38" s="32"/>
      <c r="E38" s="33"/>
      <c r="F38" s="33">
        <f t="shared" si="0"/>
        <v>0</v>
      </c>
      <c r="G38" s="33"/>
    </row>
    <row r="39" spans="2:7" x14ac:dyDescent="0.3">
      <c r="B39" s="15"/>
      <c r="C39" s="15"/>
      <c r="D39" s="17"/>
      <c r="E39" s="13"/>
      <c r="F39" s="13">
        <f t="shared" si="0"/>
        <v>0</v>
      </c>
      <c r="G39" s="13"/>
    </row>
    <row r="40" spans="2:7" x14ac:dyDescent="0.3">
      <c r="B40" s="31"/>
      <c r="C40" s="31"/>
      <c r="D40" s="32"/>
      <c r="E40" s="33"/>
      <c r="F40" s="33">
        <f t="shared" si="0"/>
        <v>0</v>
      </c>
      <c r="G40" s="33"/>
    </row>
    <row r="41" spans="2:7" x14ac:dyDescent="0.3">
      <c r="B41" s="15"/>
      <c r="C41" s="21"/>
      <c r="D41" s="22"/>
      <c r="E41" s="23"/>
      <c r="F41" s="23">
        <f t="shared" si="0"/>
        <v>0</v>
      </c>
      <c r="G41" s="13"/>
    </row>
    <row r="42" spans="2:7" x14ac:dyDescent="0.3">
      <c r="B42" s="31"/>
      <c r="C42" s="31"/>
      <c r="D42" s="32"/>
      <c r="E42" s="33"/>
      <c r="F42" s="33">
        <f t="shared" si="0"/>
        <v>0</v>
      </c>
      <c r="G42" s="33"/>
    </row>
    <row r="43" spans="2:7" x14ac:dyDescent="0.3">
      <c r="B43" s="15"/>
      <c r="C43" s="15"/>
      <c r="D43" s="17"/>
      <c r="E43" s="13"/>
      <c r="F43" s="13">
        <f t="shared" si="0"/>
        <v>0</v>
      </c>
      <c r="G43" s="13"/>
    </row>
    <row r="44" spans="2:7" x14ac:dyDescent="0.3">
      <c r="B44" s="31"/>
      <c r="C44" s="31"/>
      <c r="D44" s="32"/>
      <c r="E44" s="33"/>
      <c r="F44" s="33">
        <f t="shared" si="0"/>
        <v>0</v>
      </c>
      <c r="G44" s="33"/>
    </row>
    <row r="45" spans="2:7" x14ac:dyDescent="0.3">
      <c r="B45" s="15"/>
      <c r="C45" s="15"/>
      <c r="D45" s="17"/>
      <c r="E45" s="13"/>
      <c r="F45" s="13">
        <f t="shared" si="0"/>
        <v>0</v>
      </c>
      <c r="G45" s="13"/>
    </row>
    <row r="46" spans="2:7" x14ac:dyDescent="0.3">
      <c r="B46" s="31"/>
      <c r="C46" s="31"/>
      <c r="D46" s="32"/>
      <c r="E46" s="33"/>
      <c r="F46" s="33">
        <f t="shared" si="0"/>
        <v>0</v>
      </c>
      <c r="G46" s="33"/>
    </row>
    <row r="47" spans="2:7" x14ac:dyDescent="0.3">
      <c r="B47" s="15"/>
      <c r="C47" s="21"/>
      <c r="D47" s="22"/>
      <c r="E47" s="23"/>
      <c r="F47" s="23">
        <f t="shared" si="0"/>
        <v>0</v>
      </c>
      <c r="G47" s="13"/>
    </row>
    <row r="48" spans="2:7" x14ac:dyDescent="0.3">
      <c r="B48" s="31"/>
      <c r="C48" s="31"/>
      <c r="D48" s="32"/>
      <c r="E48" s="33"/>
      <c r="F48" s="33">
        <f t="shared" si="0"/>
        <v>0</v>
      </c>
      <c r="G48" s="33"/>
    </row>
    <row r="49" spans="2:7" x14ac:dyDescent="0.3">
      <c r="B49" s="15"/>
      <c r="C49" s="15"/>
      <c r="D49" s="17"/>
      <c r="E49" s="13"/>
      <c r="F49" s="13">
        <f t="shared" si="0"/>
        <v>0</v>
      </c>
      <c r="G49" s="13"/>
    </row>
    <row r="50" spans="2:7" x14ac:dyDescent="0.3">
      <c r="B50" s="31"/>
      <c r="C50" s="31"/>
      <c r="D50" s="32"/>
      <c r="E50" s="33"/>
      <c r="F50" s="33">
        <f t="shared" si="0"/>
        <v>0</v>
      </c>
      <c r="G50" s="33"/>
    </row>
    <row r="51" spans="2:7" x14ac:dyDescent="0.3">
      <c r="B51" s="15"/>
      <c r="C51" s="15"/>
      <c r="D51" s="17"/>
      <c r="E51" s="13"/>
      <c r="F51" s="13">
        <f t="shared" si="0"/>
        <v>0</v>
      </c>
      <c r="G51" s="13"/>
    </row>
    <row r="52" spans="2:7" x14ac:dyDescent="0.3">
      <c r="B52" s="31"/>
      <c r="C52" s="31"/>
      <c r="D52" s="32"/>
      <c r="E52" s="33"/>
      <c r="F52" s="33">
        <f t="shared" si="0"/>
        <v>0</v>
      </c>
      <c r="G52" s="33"/>
    </row>
    <row r="53" spans="2:7" x14ac:dyDescent="0.3">
      <c r="B53" s="15"/>
      <c r="C53" s="21"/>
      <c r="D53" s="22"/>
      <c r="E53" s="23"/>
      <c r="F53" s="23">
        <f t="shared" si="0"/>
        <v>0</v>
      </c>
      <c r="G53" s="13"/>
    </row>
    <row r="54" spans="2:7" x14ac:dyDescent="0.3">
      <c r="B54" s="31"/>
      <c r="C54" s="31"/>
      <c r="D54" s="32"/>
      <c r="E54" s="33"/>
      <c r="F54" s="33">
        <f t="shared" si="0"/>
        <v>0</v>
      </c>
      <c r="G54" s="33"/>
    </row>
    <row r="55" spans="2:7" x14ac:dyDescent="0.3">
      <c r="B55" s="15"/>
      <c r="C55" s="15"/>
      <c r="D55" s="17"/>
      <c r="E55" s="13"/>
      <c r="F55" s="13">
        <f t="shared" si="0"/>
        <v>0</v>
      </c>
      <c r="G55" s="13"/>
    </row>
    <row r="56" spans="2:7" x14ac:dyDescent="0.3">
      <c r="B56" s="31"/>
      <c r="C56" s="31"/>
      <c r="D56" s="32"/>
      <c r="E56" s="33"/>
      <c r="F56" s="33">
        <f t="shared" si="0"/>
        <v>0</v>
      </c>
      <c r="G56" s="33"/>
    </row>
    <row r="57" spans="2:7" x14ac:dyDescent="0.3">
      <c r="B57" s="15"/>
      <c r="C57" s="15"/>
      <c r="D57" s="17"/>
      <c r="E57" s="13"/>
      <c r="F57" s="13">
        <f t="shared" si="0"/>
        <v>0</v>
      </c>
      <c r="G57" s="13"/>
    </row>
    <row r="58" spans="2:7" x14ac:dyDescent="0.3">
      <c r="B58" s="31"/>
      <c r="C58" s="31"/>
      <c r="D58" s="32"/>
      <c r="E58" s="33"/>
      <c r="F58" s="33">
        <f t="shared" si="0"/>
        <v>0</v>
      </c>
      <c r="G58" s="33"/>
    </row>
    <row r="59" spans="2:7" x14ac:dyDescent="0.3">
      <c r="B59" s="15"/>
      <c r="C59" s="21"/>
      <c r="D59" s="22"/>
      <c r="E59" s="23"/>
      <c r="F59" s="23">
        <f t="shared" si="0"/>
        <v>0</v>
      </c>
      <c r="G59" s="13"/>
    </row>
    <row r="60" spans="2:7" x14ac:dyDescent="0.3">
      <c r="B60" s="31"/>
      <c r="C60" s="31"/>
      <c r="D60" s="32"/>
      <c r="E60" s="33"/>
      <c r="F60" s="33">
        <f t="shared" si="0"/>
        <v>0</v>
      </c>
      <c r="G60" s="33"/>
    </row>
    <row r="61" spans="2:7" x14ac:dyDescent="0.3">
      <c r="B61" s="15"/>
      <c r="C61" s="15"/>
      <c r="D61" s="17"/>
      <c r="E61" s="13"/>
      <c r="F61" s="13">
        <f t="shared" si="0"/>
        <v>0</v>
      </c>
      <c r="G61" s="13"/>
    </row>
    <row r="62" spans="2:7" x14ac:dyDescent="0.3">
      <c r="B62" s="31"/>
      <c r="C62" s="31"/>
      <c r="D62" s="32"/>
      <c r="E62" s="33"/>
      <c r="F62" s="33">
        <f t="shared" si="0"/>
        <v>0</v>
      </c>
      <c r="G62" s="33"/>
    </row>
    <row r="63" spans="2:7" x14ac:dyDescent="0.3">
      <c r="B63" s="15"/>
      <c r="C63" s="15"/>
      <c r="D63" s="17"/>
      <c r="E63" s="13"/>
      <c r="F63" s="13">
        <f t="shared" si="0"/>
        <v>0</v>
      </c>
      <c r="G63" s="13"/>
    </row>
    <row r="64" spans="2:7" x14ac:dyDescent="0.3">
      <c r="B64" s="31"/>
      <c r="C64" s="31"/>
      <c r="D64" s="32"/>
      <c r="E64" s="33"/>
      <c r="F64" s="33">
        <f t="shared" si="0"/>
        <v>0</v>
      </c>
      <c r="G64" s="33"/>
    </row>
    <row r="65" spans="2:7" x14ac:dyDescent="0.3">
      <c r="B65" s="15"/>
      <c r="C65" s="21"/>
      <c r="D65" s="22"/>
      <c r="E65" s="23"/>
      <c r="F65" s="23">
        <f t="shared" si="0"/>
        <v>0</v>
      </c>
      <c r="G65" s="13"/>
    </row>
    <row r="66" spans="2:7" x14ac:dyDescent="0.3">
      <c r="B66" s="31"/>
      <c r="C66" s="31"/>
      <c r="D66" s="32"/>
      <c r="E66" s="33"/>
      <c r="F66" s="33">
        <f t="shared" si="0"/>
        <v>0</v>
      </c>
      <c r="G66" s="33"/>
    </row>
    <row r="67" spans="2:7" x14ac:dyDescent="0.3">
      <c r="B67" s="15"/>
      <c r="C67" s="15"/>
      <c r="D67" s="17"/>
      <c r="E67" s="13"/>
      <c r="F67" s="13">
        <f t="shared" si="0"/>
        <v>0</v>
      </c>
      <c r="G67" s="13"/>
    </row>
    <row r="68" spans="2:7" x14ac:dyDescent="0.3">
      <c r="B68" s="31"/>
      <c r="C68" s="31"/>
      <c r="D68" s="32"/>
      <c r="E68" s="33"/>
      <c r="F68" s="33">
        <f t="shared" si="0"/>
        <v>0</v>
      </c>
      <c r="G68" s="33"/>
    </row>
    <row r="69" spans="2:7" x14ac:dyDescent="0.3">
      <c r="B69" s="15"/>
      <c r="C69" s="15"/>
      <c r="D69" s="17"/>
      <c r="E69" s="13"/>
      <c r="F69" s="13">
        <f t="shared" si="0"/>
        <v>0</v>
      </c>
      <c r="G69" s="13"/>
    </row>
    <row r="70" spans="2:7" x14ac:dyDescent="0.3">
      <c r="B70" s="31"/>
      <c r="C70" s="31"/>
      <c r="D70" s="32"/>
      <c r="E70" s="33"/>
      <c r="F70" s="33">
        <f t="shared" si="0"/>
        <v>0</v>
      </c>
      <c r="G70" s="33"/>
    </row>
    <row r="71" spans="2:7" x14ac:dyDescent="0.3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3">
      <c r="B72" s="31"/>
      <c r="C72" s="31"/>
      <c r="D72" s="32"/>
      <c r="E72" s="33"/>
      <c r="F72" s="33">
        <f t="shared" si="1"/>
        <v>0</v>
      </c>
      <c r="G72" s="33"/>
    </row>
    <row r="73" spans="2:7" x14ac:dyDescent="0.3">
      <c r="B73" s="15"/>
      <c r="C73" s="15"/>
      <c r="D73" s="17"/>
      <c r="E73" s="13"/>
      <c r="F73" s="13">
        <f t="shared" si="1"/>
        <v>0</v>
      </c>
      <c r="G73" s="13"/>
    </row>
    <row r="74" spans="2:7" x14ac:dyDescent="0.3">
      <c r="B74" s="31"/>
      <c r="C74" s="31"/>
      <c r="D74" s="32"/>
      <c r="E74" s="33"/>
      <c r="F74" s="33">
        <f t="shared" si="1"/>
        <v>0</v>
      </c>
      <c r="G74" s="33"/>
    </row>
    <row r="75" spans="2:7" x14ac:dyDescent="0.3">
      <c r="B75" s="15"/>
      <c r="C75" s="15"/>
      <c r="D75" s="17"/>
      <c r="E75" s="13"/>
      <c r="F75" s="13">
        <f t="shared" si="1"/>
        <v>0</v>
      </c>
      <c r="G75" s="13"/>
    </row>
    <row r="76" spans="2:7" x14ac:dyDescent="0.3">
      <c r="B76" s="31"/>
      <c r="C76" s="31"/>
      <c r="D76" s="32"/>
      <c r="E76" s="33"/>
      <c r="F76" s="33">
        <f t="shared" si="1"/>
        <v>0</v>
      </c>
      <c r="G76" s="33"/>
    </row>
    <row r="77" spans="2:7" x14ac:dyDescent="0.3">
      <c r="B77" s="15"/>
      <c r="C77" s="21"/>
      <c r="D77" s="22"/>
      <c r="E77" s="23"/>
      <c r="F77" s="23">
        <f t="shared" si="1"/>
        <v>0</v>
      </c>
      <c r="G77" s="13"/>
    </row>
    <row r="78" spans="2:7" x14ac:dyDescent="0.3">
      <c r="B78" s="31"/>
      <c r="C78" s="31"/>
      <c r="D78" s="32"/>
      <c r="E78" s="33"/>
      <c r="F78" s="33">
        <f t="shared" si="1"/>
        <v>0</v>
      </c>
      <c r="G78" s="33"/>
    </row>
    <row r="79" spans="2:7" x14ac:dyDescent="0.3">
      <c r="B79" s="15"/>
      <c r="C79" s="15"/>
      <c r="D79" s="17"/>
      <c r="E79" s="13"/>
      <c r="F79" s="13">
        <f t="shared" si="1"/>
        <v>0</v>
      </c>
      <c r="G79" s="13"/>
    </row>
    <row r="80" spans="2:7" x14ac:dyDescent="0.3">
      <c r="B80" s="31"/>
      <c r="C80" s="31"/>
      <c r="D80" s="32"/>
      <c r="E80" s="33"/>
      <c r="F80" s="33">
        <f t="shared" si="1"/>
        <v>0</v>
      </c>
      <c r="G80" s="33"/>
    </row>
    <row r="81" spans="2:7" x14ac:dyDescent="0.3">
      <c r="B81" s="15"/>
      <c r="C81" s="15"/>
      <c r="D81" s="17"/>
      <c r="E81" s="13"/>
      <c r="F81" s="13">
        <f t="shared" si="1"/>
        <v>0</v>
      </c>
      <c r="G81" s="13"/>
    </row>
    <row r="82" spans="2:7" x14ac:dyDescent="0.3">
      <c r="B82" s="31"/>
      <c r="C82" s="31"/>
      <c r="D82" s="32"/>
      <c r="E82" s="33"/>
      <c r="F82" s="33">
        <f t="shared" si="1"/>
        <v>0</v>
      </c>
      <c r="G82" s="33"/>
    </row>
    <row r="83" spans="2:7" x14ac:dyDescent="0.3">
      <c r="B83" s="15"/>
      <c r="C83" s="21"/>
      <c r="D83" s="22"/>
      <c r="E83" s="23"/>
      <c r="F83" s="23">
        <f t="shared" si="1"/>
        <v>0</v>
      </c>
      <c r="G83" s="13"/>
    </row>
    <row r="84" spans="2:7" x14ac:dyDescent="0.3">
      <c r="B84" s="31"/>
      <c r="C84" s="31"/>
      <c r="D84" s="32"/>
      <c r="E84" s="33"/>
      <c r="F84" s="33">
        <f t="shared" si="1"/>
        <v>0</v>
      </c>
      <c r="G84" s="33"/>
    </row>
    <row r="85" spans="2:7" x14ac:dyDescent="0.3">
      <c r="B85" s="15"/>
      <c r="C85" s="15"/>
      <c r="D85" s="17"/>
      <c r="E85" s="13"/>
      <c r="F85" s="13">
        <f t="shared" si="1"/>
        <v>0</v>
      </c>
      <c r="G85" s="13"/>
    </row>
    <row r="86" spans="2:7" x14ac:dyDescent="0.3">
      <c r="B86" s="31"/>
      <c r="C86" s="31"/>
      <c r="D86" s="32"/>
      <c r="E86" s="33"/>
      <c r="F86" s="33">
        <f t="shared" si="1"/>
        <v>0</v>
      </c>
      <c r="G86" s="33"/>
    </row>
    <row r="87" spans="2:7" x14ac:dyDescent="0.3">
      <c r="B87" s="15"/>
      <c r="C87" s="15"/>
      <c r="D87" s="17"/>
      <c r="E87" s="13"/>
      <c r="F87" s="13">
        <f t="shared" si="1"/>
        <v>0</v>
      </c>
      <c r="G87" s="13"/>
    </row>
    <row r="88" spans="2:7" x14ac:dyDescent="0.3">
      <c r="B88" s="31"/>
      <c r="C88" s="31"/>
      <c r="D88" s="32"/>
      <c r="E88" s="33"/>
      <c r="F88" s="33">
        <f t="shared" si="1"/>
        <v>0</v>
      </c>
      <c r="G88" s="33"/>
    </row>
    <row r="89" spans="2:7" x14ac:dyDescent="0.3">
      <c r="B89" s="15"/>
      <c r="C89" s="21"/>
      <c r="D89" s="22"/>
      <c r="E89" s="23"/>
      <c r="F89" s="23">
        <f t="shared" si="1"/>
        <v>0</v>
      </c>
      <c r="G89" s="13"/>
    </row>
    <row r="90" spans="2:7" x14ac:dyDescent="0.3">
      <c r="B90" s="31"/>
      <c r="C90" s="31"/>
      <c r="D90" s="32"/>
      <c r="E90" s="33"/>
      <c r="F90" s="33">
        <f t="shared" si="1"/>
        <v>0</v>
      </c>
      <c r="G90" s="33"/>
    </row>
    <row r="91" spans="2:7" x14ac:dyDescent="0.3">
      <c r="B91" s="15"/>
      <c r="C91" s="15"/>
      <c r="D91" s="17"/>
      <c r="E91" s="13"/>
      <c r="F91" s="13">
        <f t="shared" si="1"/>
        <v>0</v>
      </c>
      <c r="G91" s="13"/>
    </row>
    <row r="92" spans="2:7" x14ac:dyDescent="0.3">
      <c r="B92" s="31"/>
      <c r="C92" s="31"/>
      <c r="D92" s="32"/>
      <c r="E92" s="33"/>
      <c r="F92" s="33">
        <f t="shared" si="1"/>
        <v>0</v>
      </c>
      <c r="G92" s="33"/>
    </row>
    <row r="93" spans="2:7" x14ac:dyDescent="0.3">
      <c r="B93" s="15"/>
      <c r="C93" s="15"/>
      <c r="D93" s="17"/>
      <c r="E93" s="13"/>
      <c r="F93" s="13">
        <f t="shared" si="1"/>
        <v>0</v>
      </c>
      <c r="G93" s="13"/>
    </row>
    <row r="94" spans="2:7" x14ac:dyDescent="0.3">
      <c r="B94" s="31"/>
      <c r="C94" s="31"/>
      <c r="D94" s="32"/>
      <c r="E94" s="33"/>
      <c r="F94" s="33">
        <f t="shared" si="1"/>
        <v>0</v>
      </c>
      <c r="G94" s="33"/>
    </row>
    <row r="95" spans="2:7" x14ac:dyDescent="0.3">
      <c r="B95" s="15"/>
      <c r="C95" s="21"/>
      <c r="D95" s="22"/>
      <c r="E95" s="23"/>
      <c r="F95" s="23">
        <f t="shared" si="1"/>
        <v>0</v>
      </c>
      <c r="G95" s="13"/>
    </row>
    <row r="96" spans="2:7" x14ac:dyDescent="0.3">
      <c r="B96" s="31"/>
      <c r="C96" s="31"/>
      <c r="D96" s="32"/>
      <c r="E96" s="33"/>
      <c r="F96" s="33">
        <f t="shared" si="1"/>
        <v>0</v>
      </c>
      <c r="G96" s="33"/>
    </row>
    <row r="97" spans="2:7" x14ac:dyDescent="0.3">
      <c r="B97" s="15"/>
      <c r="C97" s="15"/>
      <c r="D97" s="17"/>
      <c r="E97" s="13"/>
      <c r="F97" s="13">
        <f t="shared" si="1"/>
        <v>0</v>
      </c>
      <c r="G97" s="13"/>
    </row>
    <row r="98" spans="2:7" x14ac:dyDescent="0.3">
      <c r="B98" s="31"/>
      <c r="C98" s="31"/>
      <c r="D98" s="32"/>
      <c r="E98" s="33"/>
      <c r="F98" s="33">
        <f t="shared" si="1"/>
        <v>0</v>
      </c>
      <c r="G98" s="33"/>
    </row>
    <row r="99" spans="2:7" x14ac:dyDescent="0.3">
      <c r="B99" s="15"/>
      <c r="C99" s="15"/>
      <c r="D99" s="17"/>
      <c r="E99" s="13"/>
      <c r="F99" s="13">
        <f t="shared" si="1"/>
        <v>0</v>
      </c>
      <c r="G99" s="13"/>
    </row>
    <row r="100" spans="2:7" x14ac:dyDescent="0.3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3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3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3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3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3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3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3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3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3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3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3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3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3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3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3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3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3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3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3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3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3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3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3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3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3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3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3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3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3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3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3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3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3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3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3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3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3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3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3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3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3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3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3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3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3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3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3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3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3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3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3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3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3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3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3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3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3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3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3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3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3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3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3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3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3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3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3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3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3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3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3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3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3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3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3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3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3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3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3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3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3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3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3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3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3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3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3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3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3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3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3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3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3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3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3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3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3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3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3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3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3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3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3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3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3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3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3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3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3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3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3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3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3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3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3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3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3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3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3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3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3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3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3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3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3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3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3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3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3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3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3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3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3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3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3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3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3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3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3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3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3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3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3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3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3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3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3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3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3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3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3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3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3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3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3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3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3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3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3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3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3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3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3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3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3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3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3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3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3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3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3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3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3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3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3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3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3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3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3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3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3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3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3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3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3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3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3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3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3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3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3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3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3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3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3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3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3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3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3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3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3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3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3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3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3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3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3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3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3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3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3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3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3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3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3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3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3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3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3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3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3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3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3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3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3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3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3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3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3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3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3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3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3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3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3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3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3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3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3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3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3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3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3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3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3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3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3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3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3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3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3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3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3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3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3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3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3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3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3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3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3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3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3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3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3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3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3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3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3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3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3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3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3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3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3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3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3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3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3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3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3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3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3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3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3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3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3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3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3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3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3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3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3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3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3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3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3">
      <c r="B397" s="15"/>
      <c r="C397" s="15"/>
      <c r="D397" s="17"/>
      <c r="E397" s="13"/>
      <c r="F397" s="13"/>
      <c r="G397" s="13"/>
    </row>
    <row r="398" spans="2:7" x14ac:dyDescent="0.3">
      <c r="B398" s="31"/>
      <c r="C398" s="31"/>
      <c r="D398" s="32"/>
      <c r="E398" s="33"/>
      <c r="F398" s="33"/>
      <c r="G398" s="33"/>
    </row>
    <row r="401" spans="2:8" x14ac:dyDescent="0.3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3">
      <c r="D403" s="84" t="s">
        <v>53</v>
      </c>
      <c r="E403" s="29">
        <v>0.1</v>
      </c>
    </row>
    <row r="404" spans="2:8" x14ac:dyDescent="0.3">
      <c r="D404" s="36" t="s">
        <v>18</v>
      </c>
      <c r="E404" s="33">
        <v>110</v>
      </c>
    </row>
    <row r="405" spans="2:8" x14ac:dyDescent="0.3">
      <c r="D405" s="24" t="s">
        <v>19</v>
      </c>
      <c r="E405" s="30">
        <v>0.4</v>
      </c>
    </row>
    <row r="406" spans="2:8" x14ac:dyDescent="0.3">
      <c r="D406" s="36" t="s">
        <v>23</v>
      </c>
      <c r="E406" s="34">
        <v>0.2</v>
      </c>
      <c r="G406" s="86"/>
    </row>
    <row r="407" spans="2:8" x14ac:dyDescent="0.3">
      <c r="F407" s="27"/>
    </row>
    <row r="408" spans="2:8" x14ac:dyDescent="0.3">
      <c r="F408" s="27"/>
    </row>
    <row r="409" spans="2:8" x14ac:dyDescent="0.3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3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3">
      <c r="F411" s="27"/>
      <c r="G411" s="88" t="s">
        <v>57</v>
      </c>
      <c r="H411" s="90">
        <v>8.8749999999999996E-2</v>
      </c>
    </row>
    <row r="412" spans="2:8" x14ac:dyDescent="0.3">
      <c r="F412" s="27"/>
    </row>
    <row r="413" spans="2:8" x14ac:dyDescent="0.3">
      <c r="D413" s="37" t="s">
        <v>17</v>
      </c>
      <c r="E413" s="28">
        <f>F401*(1+E403)</f>
        <v>0</v>
      </c>
    </row>
    <row r="414" spans="2:8" x14ac:dyDescent="0.3">
      <c r="D414" s="36" t="s">
        <v>20</v>
      </c>
      <c r="E414" s="35">
        <f>B401*E404</f>
        <v>0</v>
      </c>
    </row>
    <row r="415" spans="2:8" x14ac:dyDescent="0.3">
      <c r="D415" s="37" t="s">
        <v>21</v>
      </c>
      <c r="E415" s="28">
        <f>E414*E405</f>
        <v>0</v>
      </c>
    </row>
    <row r="416" spans="2:8" x14ac:dyDescent="0.3">
      <c r="D416" s="38" t="s">
        <v>22</v>
      </c>
      <c r="E416" s="35">
        <f>E414*E406</f>
        <v>0</v>
      </c>
    </row>
    <row r="417" spans="4:8" x14ac:dyDescent="0.3">
      <c r="D417" s="39" t="s">
        <v>28</v>
      </c>
      <c r="E417" s="40">
        <f>SUM(E413:E416)</f>
        <v>0</v>
      </c>
    </row>
    <row r="420" spans="4:8" x14ac:dyDescent="0.3">
      <c r="D420" s="24" t="s">
        <v>24</v>
      </c>
      <c r="E420" s="44">
        <v>0.4</v>
      </c>
    </row>
    <row r="421" spans="4:8" x14ac:dyDescent="0.3">
      <c r="D421" s="39" t="s">
        <v>25</v>
      </c>
      <c r="E421" s="41">
        <f>E417*(1+E420)</f>
        <v>0</v>
      </c>
    </row>
    <row r="422" spans="4:8" x14ac:dyDescent="0.3">
      <c r="D422" s="26"/>
    </row>
    <row r="424" spans="4:8" x14ac:dyDescent="0.3">
      <c r="D424" s="84" t="s">
        <v>47</v>
      </c>
      <c r="E424" s="13"/>
    </row>
    <row r="425" spans="4:8" x14ac:dyDescent="0.3">
      <c r="D425" s="83" t="s">
        <v>50</v>
      </c>
      <c r="E425" s="33"/>
    </row>
    <row r="426" spans="4:8" x14ac:dyDescent="0.3">
      <c r="D426" s="84" t="s">
        <v>49</v>
      </c>
      <c r="E426" s="44">
        <v>0.25</v>
      </c>
    </row>
    <row r="427" spans="4:8" x14ac:dyDescent="0.3">
      <c r="D427" s="39" t="s">
        <v>51</v>
      </c>
      <c r="E427" s="41">
        <f>(E424+E425)*(1+E426)</f>
        <v>0</v>
      </c>
    </row>
    <row r="430" spans="4:8" x14ac:dyDescent="0.3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3">
      <c r="D431" s="36" t="s">
        <v>26</v>
      </c>
      <c r="E431" s="33">
        <f>G401*(1+E430)</f>
        <v>0</v>
      </c>
      <c r="G431" s="13"/>
      <c r="H431" s="13"/>
    </row>
    <row r="432" spans="4:8" x14ac:dyDescent="0.3">
      <c r="D432" s="24" t="s">
        <v>27</v>
      </c>
      <c r="E432" s="44">
        <v>0.25</v>
      </c>
      <c r="G432" s="33"/>
      <c r="H432" s="33"/>
    </row>
    <row r="433" spans="4:8" x14ac:dyDescent="0.3">
      <c r="D433" s="39" t="s">
        <v>29</v>
      </c>
      <c r="E433" s="41">
        <f>E431*(1+E432)</f>
        <v>0</v>
      </c>
      <c r="G433" s="13"/>
      <c r="H433" s="13"/>
    </row>
    <row r="434" spans="4:8" x14ac:dyDescent="0.3">
      <c r="D434" s="19"/>
      <c r="E434" s="18"/>
      <c r="G434" s="33"/>
      <c r="H434" s="33"/>
    </row>
    <row r="435" spans="4:8" x14ac:dyDescent="0.3">
      <c r="G435" s="13"/>
      <c r="H435" s="13"/>
    </row>
    <row r="436" spans="4:8" x14ac:dyDescent="0.3">
      <c r="D436" s="42" t="s">
        <v>10</v>
      </c>
      <c r="E436" s="43">
        <f>E421+E433+E410+E427</f>
        <v>0</v>
      </c>
    </row>
    <row r="437" spans="4:8" x14ac:dyDescent="0.3">
      <c r="D437" s="82" t="s">
        <v>43</v>
      </c>
      <c r="E437" s="46" t="e">
        <f>(E436-(E431+E417))/E436</f>
        <v>#DIV/0!</v>
      </c>
    </row>
    <row r="438" spans="4:8" x14ac:dyDescent="0.3">
      <c r="D438" s="20"/>
    </row>
    <row r="440" spans="4:8" x14ac:dyDescent="0.3">
      <c r="D440" s="25" t="s">
        <v>30</v>
      </c>
      <c r="E440" s="30">
        <v>0.15</v>
      </c>
    </row>
    <row r="441" spans="4:8" x14ac:dyDescent="0.3">
      <c r="D441" s="81" t="s">
        <v>42</v>
      </c>
      <c r="E441" s="43">
        <f>E436*(1+E440)</f>
        <v>0</v>
      </c>
    </row>
    <row r="442" spans="4:8" x14ac:dyDescent="0.3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D284-95F8-4694-BB30-87D24DA8A2C6}">
  <dimension ref="B4:H442"/>
  <sheetViews>
    <sheetView showGridLines="0" topLeftCell="A415" zoomScale="85" zoomScaleNormal="85" workbookViewId="0">
      <selection activeCell="E436" sqref="E436"/>
    </sheetView>
  </sheetViews>
  <sheetFormatPr defaultRowHeight="14.4" x14ac:dyDescent="0.3"/>
  <cols>
    <col min="1" max="1" width="8.44140625" customWidth="1"/>
    <col min="2" max="2" width="12.5546875" style="16" customWidth="1"/>
    <col min="3" max="3" width="11.5546875" style="16" customWidth="1"/>
    <col min="4" max="4" width="107.33203125" customWidth="1"/>
    <col min="5" max="5" width="15.5546875" style="14" customWidth="1"/>
    <col min="6" max="6" width="15.88671875" style="14" customWidth="1"/>
    <col min="7" max="7" width="16.6640625" style="14" customWidth="1"/>
    <col min="8" max="8" width="14.21875" customWidth="1"/>
  </cols>
  <sheetData>
    <row r="4" spans="2:7" x14ac:dyDescent="0.3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3">
      <c r="B5" s="15"/>
      <c r="C5" s="21"/>
      <c r="D5" s="22"/>
      <c r="E5" s="23"/>
      <c r="F5" s="23"/>
      <c r="G5" s="13"/>
    </row>
    <row r="6" spans="2:7" x14ac:dyDescent="0.3">
      <c r="B6" s="31"/>
      <c r="C6" s="31"/>
      <c r="D6" s="32"/>
      <c r="E6" s="33"/>
      <c r="F6" s="33">
        <f>E6*C6</f>
        <v>0</v>
      </c>
      <c r="G6" s="33"/>
    </row>
    <row r="7" spans="2:7" x14ac:dyDescent="0.3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3">
      <c r="B8" s="31"/>
      <c r="C8" s="31"/>
      <c r="D8" s="32"/>
      <c r="E8" s="33"/>
      <c r="F8" s="33">
        <f t="shared" si="0"/>
        <v>0</v>
      </c>
      <c r="G8" s="33"/>
    </row>
    <row r="9" spans="2:7" x14ac:dyDescent="0.3">
      <c r="B9" s="15"/>
      <c r="C9" s="15"/>
      <c r="D9" s="17"/>
      <c r="E9" s="13"/>
      <c r="F9" s="13">
        <f t="shared" si="0"/>
        <v>0</v>
      </c>
      <c r="G9" s="13"/>
    </row>
    <row r="10" spans="2:7" x14ac:dyDescent="0.3">
      <c r="B10" s="31"/>
      <c r="C10" s="31"/>
      <c r="D10" s="32"/>
      <c r="E10" s="33"/>
      <c r="F10" s="33">
        <f t="shared" si="0"/>
        <v>0</v>
      </c>
      <c r="G10" s="33"/>
    </row>
    <row r="11" spans="2:7" x14ac:dyDescent="0.3">
      <c r="B11" s="15"/>
      <c r="C11" s="21"/>
      <c r="D11" s="22"/>
      <c r="E11" s="23"/>
      <c r="F11" s="23">
        <f t="shared" si="0"/>
        <v>0</v>
      </c>
      <c r="G11" s="13"/>
    </row>
    <row r="12" spans="2:7" x14ac:dyDescent="0.3">
      <c r="B12" s="31"/>
      <c r="C12" s="31"/>
      <c r="D12" s="32"/>
      <c r="E12" s="33"/>
      <c r="F12" s="33">
        <f t="shared" si="0"/>
        <v>0</v>
      </c>
      <c r="G12" s="33"/>
    </row>
    <row r="13" spans="2:7" x14ac:dyDescent="0.3">
      <c r="B13" s="15"/>
      <c r="C13" s="15"/>
      <c r="D13" s="17"/>
      <c r="E13" s="13"/>
      <c r="F13" s="13">
        <f t="shared" si="0"/>
        <v>0</v>
      </c>
      <c r="G13" s="13"/>
    </row>
    <row r="14" spans="2:7" x14ac:dyDescent="0.3">
      <c r="B14" s="31"/>
      <c r="C14" s="31"/>
      <c r="D14" s="32"/>
      <c r="E14" s="33"/>
      <c r="F14" s="33">
        <f t="shared" si="0"/>
        <v>0</v>
      </c>
      <c r="G14" s="33"/>
    </row>
    <row r="15" spans="2:7" x14ac:dyDescent="0.3">
      <c r="B15" s="15"/>
      <c r="C15" s="15"/>
      <c r="D15" s="17"/>
      <c r="E15" s="13"/>
      <c r="F15" s="13">
        <f t="shared" si="0"/>
        <v>0</v>
      </c>
      <c r="G15" s="13"/>
    </row>
    <row r="16" spans="2:7" x14ac:dyDescent="0.3">
      <c r="B16" s="31"/>
      <c r="C16" s="31"/>
      <c r="D16" s="32"/>
      <c r="E16" s="33"/>
      <c r="F16" s="33">
        <f t="shared" si="0"/>
        <v>0</v>
      </c>
      <c r="G16" s="33"/>
    </row>
    <row r="17" spans="2:7" x14ac:dyDescent="0.3">
      <c r="B17" s="15"/>
      <c r="C17" s="21"/>
      <c r="D17" s="22"/>
      <c r="E17" s="23"/>
      <c r="F17" s="23">
        <f t="shared" si="0"/>
        <v>0</v>
      </c>
      <c r="G17" s="13"/>
    </row>
    <row r="18" spans="2:7" x14ac:dyDescent="0.3">
      <c r="B18" s="31"/>
      <c r="C18" s="31"/>
      <c r="D18" s="32"/>
      <c r="E18" s="33"/>
      <c r="F18" s="33">
        <f t="shared" si="0"/>
        <v>0</v>
      </c>
      <c r="G18" s="33"/>
    </row>
    <row r="19" spans="2:7" x14ac:dyDescent="0.3">
      <c r="B19" s="15"/>
      <c r="C19" s="15"/>
      <c r="D19" s="17"/>
      <c r="E19" s="13"/>
      <c r="F19" s="13">
        <f t="shared" si="0"/>
        <v>0</v>
      </c>
      <c r="G19" s="13"/>
    </row>
    <row r="20" spans="2:7" x14ac:dyDescent="0.3">
      <c r="B20" s="31"/>
      <c r="C20" s="31"/>
      <c r="D20" s="32"/>
      <c r="E20" s="33"/>
      <c r="F20" s="33">
        <f t="shared" si="0"/>
        <v>0</v>
      </c>
      <c r="G20" s="33"/>
    </row>
    <row r="21" spans="2:7" x14ac:dyDescent="0.3">
      <c r="B21" s="15"/>
      <c r="C21" s="15"/>
      <c r="D21" s="17"/>
      <c r="E21" s="13"/>
      <c r="F21" s="13">
        <f t="shared" si="0"/>
        <v>0</v>
      </c>
      <c r="G21" s="13"/>
    </row>
    <row r="22" spans="2:7" x14ac:dyDescent="0.3">
      <c r="B22" s="31"/>
      <c r="C22" s="31"/>
      <c r="D22" s="32"/>
      <c r="E22" s="33"/>
      <c r="F22" s="33">
        <f t="shared" si="0"/>
        <v>0</v>
      </c>
      <c r="G22" s="33"/>
    </row>
    <row r="23" spans="2:7" x14ac:dyDescent="0.3">
      <c r="B23" s="15"/>
      <c r="C23" s="21"/>
      <c r="D23" s="22"/>
      <c r="E23" s="23"/>
      <c r="F23" s="23">
        <f t="shared" si="0"/>
        <v>0</v>
      </c>
      <c r="G23" s="13"/>
    </row>
    <row r="24" spans="2:7" x14ac:dyDescent="0.3">
      <c r="B24" s="31"/>
      <c r="C24" s="31"/>
      <c r="D24" s="32"/>
      <c r="E24" s="33"/>
      <c r="F24" s="33">
        <f t="shared" si="0"/>
        <v>0</v>
      </c>
      <c r="G24" s="33"/>
    </row>
    <row r="25" spans="2:7" x14ac:dyDescent="0.3">
      <c r="B25" s="15"/>
      <c r="C25" s="15"/>
      <c r="D25" s="17"/>
      <c r="E25" s="13"/>
      <c r="F25" s="13">
        <f t="shared" si="0"/>
        <v>0</v>
      </c>
      <c r="G25" s="13"/>
    </row>
    <row r="26" spans="2:7" x14ac:dyDescent="0.3">
      <c r="B26" s="31"/>
      <c r="C26" s="31"/>
      <c r="D26" s="32"/>
      <c r="E26" s="33"/>
      <c r="F26" s="33">
        <f t="shared" si="0"/>
        <v>0</v>
      </c>
      <c r="G26" s="33"/>
    </row>
    <row r="27" spans="2:7" x14ac:dyDescent="0.3">
      <c r="B27" s="15"/>
      <c r="C27" s="15"/>
      <c r="D27" s="17"/>
      <c r="E27" s="13"/>
      <c r="F27" s="13">
        <f t="shared" si="0"/>
        <v>0</v>
      </c>
      <c r="G27" s="13"/>
    </row>
    <row r="28" spans="2:7" x14ac:dyDescent="0.3">
      <c r="B28" s="31"/>
      <c r="C28" s="31"/>
      <c r="D28" s="32"/>
      <c r="E28" s="33"/>
      <c r="F28" s="33">
        <f t="shared" si="0"/>
        <v>0</v>
      </c>
      <c r="G28" s="33"/>
    </row>
    <row r="29" spans="2:7" x14ac:dyDescent="0.3">
      <c r="B29" s="15"/>
      <c r="C29" s="21"/>
      <c r="D29" s="22"/>
      <c r="E29" s="23"/>
      <c r="F29" s="23">
        <f t="shared" si="0"/>
        <v>0</v>
      </c>
      <c r="G29" s="13"/>
    </row>
    <row r="30" spans="2:7" x14ac:dyDescent="0.3">
      <c r="B30" s="31"/>
      <c r="C30" s="31"/>
      <c r="D30" s="32"/>
      <c r="E30" s="33"/>
      <c r="F30" s="33">
        <f t="shared" si="0"/>
        <v>0</v>
      </c>
      <c r="G30" s="33"/>
    </row>
    <row r="31" spans="2:7" x14ac:dyDescent="0.3">
      <c r="B31" s="15"/>
      <c r="C31" s="15"/>
      <c r="D31" s="17"/>
      <c r="E31" s="13"/>
      <c r="F31" s="13">
        <f t="shared" si="0"/>
        <v>0</v>
      </c>
      <c r="G31" s="13"/>
    </row>
    <row r="32" spans="2:7" x14ac:dyDescent="0.3">
      <c r="B32" s="31"/>
      <c r="C32" s="31"/>
      <c r="D32" s="32"/>
      <c r="E32" s="33"/>
      <c r="F32" s="33">
        <f t="shared" si="0"/>
        <v>0</v>
      </c>
      <c r="G32" s="33"/>
    </row>
    <row r="33" spans="2:7" x14ac:dyDescent="0.3">
      <c r="B33" s="15"/>
      <c r="C33" s="15"/>
      <c r="D33" s="17"/>
      <c r="E33" s="13"/>
      <c r="F33" s="13">
        <f t="shared" si="0"/>
        <v>0</v>
      </c>
      <c r="G33" s="13"/>
    </row>
    <row r="34" spans="2:7" x14ac:dyDescent="0.3">
      <c r="B34" s="31"/>
      <c r="C34" s="31"/>
      <c r="D34" s="32"/>
      <c r="E34" s="33"/>
      <c r="F34" s="33">
        <f t="shared" si="0"/>
        <v>0</v>
      </c>
      <c r="G34" s="33"/>
    </row>
    <row r="35" spans="2:7" x14ac:dyDescent="0.3">
      <c r="B35" s="15"/>
      <c r="C35" s="21"/>
      <c r="D35" s="22"/>
      <c r="E35" s="23"/>
      <c r="F35" s="23">
        <f t="shared" si="0"/>
        <v>0</v>
      </c>
      <c r="G35" s="13"/>
    </row>
    <row r="36" spans="2:7" x14ac:dyDescent="0.3">
      <c r="B36" s="31"/>
      <c r="C36" s="31"/>
      <c r="D36" s="32"/>
      <c r="E36" s="33"/>
      <c r="F36" s="33">
        <f t="shared" si="0"/>
        <v>0</v>
      </c>
      <c r="G36" s="33"/>
    </row>
    <row r="37" spans="2:7" x14ac:dyDescent="0.3">
      <c r="B37" s="15"/>
      <c r="C37" s="15"/>
      <c r="D37" s="17"/>
      <c r="E37" s="13"/>
      <c r="F37" s="13">
        <f t="shared" si="0"/>
        <v>0</v>
      </c>
      <c r="G37" s="13"/>
    </row>
    <row r="38" spans="2:7" x14ac:dyDescent="0.3">
      <c r="B38" s="31"/>
      <c r="C38" s="31"/>
      <c r="D38" s="32"/>
      <c r="E38" s="33"/>
      <c r="F38" s="33">
        <f t="shared" si="0"/>
        <v>0</v>
      </c>
      <c r="G38" s="33"/>
    </row>
    <row r="39" spans="2:7" x14ac:dyDescent="0.3">
      <c r="B39" s="15"/>
      <c r="C39" s="15"/>
      <c r="D39" s="17"/>
      <c r="E39" s="13"/>
      <c r="F39" s="13">
        <f t="shared" si="0"/>
        <v>0</v>
      </c>
      <c r="G39" s="13"/>
    </row>
    <row r="40" spans="2:7" x14ac:dyDescent="0.3">
      <c r="B40" s="31"/>
      <c r="C40" s="31"/>
      <c r="D40" s="32"/>
      <c r="E40" s="33"/>
      <c r="F40" s="33">
        <f t="shared" si="0"/>
        <v>0</v>
      </c>
      <c r="G40" s="33"/>
    </row>
    <row r="41" spans="2:7" x14ac:dyDescent="0.3">
      <c r="B41" s="15"/>
      <c r="C41" s="21"/>
      <c r="D41" s="22"/>
      <c r="E41" s="23"/>
      <c r="F41" s="23">
        <f t="shared" si="0"/>
        <v>0</v>
      </c>
      <c r="G41" s="13"/>
    </row>
    <row r="42" spans="2:7" x14ac:dyDescent="0.3">
      <c r="B42" s="31"/>
      <c r="C42" s="31"/>
      <c r="D42" s="32"/>
      <c r="E42" s="33"/>
      <c r="F42" s="33">
        <f t="shared" si="0"/>
        <v>0</v>
      </c>
      <c r="G42" s="33"/>
    </row>
    <row r="43" spans="2:7" x14ac:dyDescent="0.3">
      <c r="B43" s="15"/>
      <c r="C43" s="15"/>
      <c r="D43" s="17"/>
      <c r="E43" s="13"/>
      <c r="F43" s="13">
        <f t="shared" si="0"/>
        <v>0</v>
      </c>
      <c r="G43" s="13"/>
    </row>
    <row r="44" spans="2:7" x14ac:dyDescent="0.3">
      <c r="B44" s="31"/>
      <c r="C44" s="31"/>
      <c r="D44" s="32"/>
      <c r="E44" s="33"/>
      <c r="F44" s="33">
        <f t="shared" si="0"/>
        <v>0</v>
      </c>
      <c r="G44" s="33"/>
    </row>
    <row r="45" spans="2:7" x14ac:dyDescent="0.3">
      <c r="B45" s="15"/>
      <c r="C45" s="15"/>
      <c r="D45" s="17"/>
      <c r="E45" s="13"/>
      <c r="F45" s="13">
        <f t="shared" si="0"/>
        <v>0</v>
      </c>
      <c r="G45" s="13"/>
    </row>
    <row r="46" spans="2:7" x14ac:dyDescent="0.3">
      <c r="B46" s="31"/>
      <c r="C46" s="31"/>
      <c r="D46" s="32"/>
      <c r="E46" s="33"/>
      <c r="F46" s="33">
        <f t="shared" si="0"/>
        <v>0</v>
      </c>
      <c r="G46" s="33"/>
    </row>
    <row r="47" spans="2:7" x14ac:dyDescent="0.3">
      <c r="B47" s="15"/>
      <c r="C47" s="21"/>
      <c r="D47" s="22"/>
      <c r="E47" s="23"/>
      <c r="F47" s="23">
        <f t="shared" si="0"/>
        <v>0</v>
      </c>
      <c r="G47" s="13"/>
    </row>
    <row r="48" spans="2:7" x14ac:dyDescent="0.3">
      <c r="B48" s="31"/>
      <c r="C48" s="31"/>
      <c r="D48" s="32"/>
      <c r="E48" s="33"/>
      <c r="F48" s="33">
        <f t="shared" si="0"/>
        <v>0</v>
      </c>
      <c r="G48" s="33"/>
    </row>
    <row r="49" spans="2:7" x14ac:dyDescent="0.3">
      <c r="B49" s="15"/>
      <c r="C49" s="15"/>
      <c r="D49" s="17"/>
      <c r="E49" s="13"/>
      <c r="F49" s="13">
        <f t="shared" si="0"/>
        <v>0</v>
      </c>
      <c r="G49" s="13"/>
    </row>
    <row r="50" spans="2:7" x14ac:dyDescent="0.3">
      <c r="B50" s="31"/>
      <c r="C50" s="31"/>
      <c r="D50" s="32"/>
      <c r="E50" s="33"/>
      <c r="F50" s="33">
        <f t="shared" si="0"/>
        <v>0</v>
      </c>
      <c r="G50" s="33"/>
    </row>
    <row r="51" spans="2:7" x14ac:dyDescent="0.3">
      <c r="B51" s="15"/>
      <c r="C51" s="15"/>
      <c r="D51" s="17"/>
      <c r="E51" s="13"/>
      <c r="F51" s="13">
        <f t="shared" si="0"/>
        <v>0</v>
      </c>
      <c r="G51" s="13"/>
    </row>
    <row r="52" spans="2:7" x14ac:dyDescent="0.3">
      <c r="B52" s="31"/>
      <c r="C52" s="31"/>
      <c r="D52" s="32"/>
      <c r="E52" s="33"/>
      <c r="F52" s="33">
        <f t="shared" si="0"/>
        <v>0</v>
      </c>
      <c r="G52" s="33"/>
    </row>
    <row r="53" spans="2:7" x14ac:dyDescent="0.3">
      <c r="B53" s="15"/>
      <c r="C53" s="21"/>
      <c r="D53" s="22"/>
      <c r="E53" s="23"/>
      <c r="F53" s="23">
        <f t="shared" si="0"/>
        <v>0</v>
      </c>
      <c r="G53" s="13"/>
    </row>
    <row r="54" spans="2:7" x14ac:dyDescent="0.3">
      <c r="B54" s="31"/>
      <c r="C54" s="31"/>
      <c r="D54" s="32"/>
      <c r="E54" s="33"/>
      <c r="F54" s="33">
        <f t="shared" si="0"/>
        <v>0</v>
      </c>
      <c r="G54" s="33"/>
    </row>
    <row r="55" spans="2:7" x14ac:dyDescent="0.3">
      <c r="B55" s="15"/>
      <c r="C55" s="15"/>
      <c r="D55" s="17"/>
      <c r="E55" s="13"/>
      <c r="F55" s="13">
        <f t="shared" si="0"/>
        <v>0</v>
      </c>
      <c r="G55" s="13"/>
    </row>
    <row r="56" spans="2:7" x14ac:dyDescent="0.3">
      <c r="B56" s="31"/>
      <c r="C56" s="31"/>
      <c r="D56" s="32"/>
      <c r="E56" s="33"/>
      <c r="F56" s="33">
        <f t="shared" si="0"/>
        <v>0</v>
      </c>
      <c r="G56" s="33"/>
    </row>
    <row r="57" spans="2:7" x14ac:dyDescent="0.3">
      <c r="B57" s="15"/>
      <c r="C57" s="15"/>
      <c r="D57" s="17"/>
      <c r="E57" s="13"/>
      <c r="F57" s="13">
        <f t="shared" si="0"/>
        <v>0</v>
      </c>
      <c r="G57" s="13"/>
    </row>
    <row r="58" spans="2:7" x14ac:dyDescent="0.3">
      <c r="B58" s="31"/>
      <c r="C58" s="31"/>
      <c r="D58" s="32"/>
      <c r="E58" s="33"/>
      <c r="F58" s="33">
        <f t="shared" si="0"/>
        <v>0</v>
      </c>
      <c r="G58" s="33"/>
    </row>
    <row r="59" spans="2:7" x14ac:dyDescent="0.3">
      <c r="B59" s="15"/>
      <c r="C59" s="21"/>
      <c r="D59" s="22"/>
      <c r="E59" s="23"/>
      <c r="F59" s="23">
        <f t="shared" si="0"/>
        <v>0</v>
      </c>
      <c r="G59" s="13"/>
    </row>
    <row r="60" spans="2:7" x14ac:dyDescent="0.3">
      <c r="B60" s="31"/>
      <c r="C60" s="31"/>
      <c r="D60" s="32"/>
      <c r="E60" s="33"/>
      <c r="F60" s="33">
        <f t="shared" si="0"/>
        <v>0</v>
      </c>
      <c r="G60" s="33"/>
    </row>
    <row r="61" spans="2:7" x14ac:dyDescent="0.3">
      <c r="B61" s="15"/>
      <c r="C61" s="15"/>
      <c r="D61" s="17"/>
      <c r="E61" s="13"/>
      <c r="F61" s="13">
        <f t="shared" si="0"/>
        <v>0</v>
      </c>
      <c r="G61" s="13"/>
    </row>
    <row r="62" spans="2:7" x14ac:dyDescent="0.3">
      <c r="B62" s="31"/>
      <c r="C62" s="31"/>
      <c r="D62" s="32"/>
      <c r="E62" s="33"/>
      <c r="F62" s="33">
        <f t="shared" si="0"/>
        <v>0</v>
      </c>
      <c r="G62" s="33"/>
    </row>
    <row r="63" spans="2:7" x14ac:dyDescent="0.3">
      <c r="B63" s="15"/>
      <c r="C63" s="15"/>
      <c r="D63" s="17"/>
      <c r="E63" s="13"/>
      <c r="F63" s="13">
        <f t="shared" si="0"/>
        <v>0</v>
      </c>
      <c r="G63" s="13"/>
    </row>
    <row r="64" spans="2:7" x14ac:dyDescent="0.3">
      <c r="B64" s="31"/>
      <c r="C64" s="31"/>
      <c r="D64" s="32"/>
      <c r="E64" s="33"/>
      <c r="F64" s="33">
        <f t="shared" si="0"/>
        <v>0</v>
      </c>
      <c r="G64" s="33"/>
    </row>
    <row r="65" spans="2:7" x14ac:dyDescent="0.3">
      <c r="B65" s="15"/>
      <c r="C65" s="21"/>
      <c r="D65" s="22"/>
      <c r="E65" s="23"/>
      <c r="F65" s="23">
        <f t="shared" si="0"/>
        <v>0</v>
      </c>
      <c r="G65" s="13"/>
    </row>
    <row r="66" spans="2:7" x14ac:dyDescent="0.3">
      <c r="B66" s="31"/>
      <c r="C66" s="31"/>
      <c r="D66" s="32"/>
      <c r="E66" s="33"/>
      <c r="F66" s="33">
        <f t="shared" si="0"/>
        <v>0</v>
      </c>
      <c r="G66" s="33"/>
    </row>
    <row r="67" spans="2:7" x14ac:dyDescent="0.3">
      <c r="B67" s="15"/>
      <c r="C67" s="15"/>
      <c r="D67" s="17"/>
      <c r="E67" s="13"/>
      <c r="F67" s="13">
        <f t="shared" si="0"/>
        <v>0</v>
      </c>
      <c r="G67" s="13"/>
    </row>
    <row r="68" spans="2:7" x14ac:dyDescent="0.3">
      <c r="B68" s="31"/>
      <c r="C68" s="31"/>
      <c r="D68" s="32"/>
      <c r="E68" s="33"/>
      <c r="F68" s="33">
        <f t="shared" si="0"/>
        <v>0</v>
      </c>
      <c r="G68" s="33"/>
    </row>
    <row r="69" spans="2:7" x14ac:dyDescent="0.3">
      <c r="B69" s="15"/>
      <c r="C69" s="15"/>
      <c r="D69" s="17"/>
      <c r="E69" s="13"/>
      <c r="F69" s="13">
        <f t="shared" si="0"/>
        <v>0</v>
      </c>
      <c r="G69" s="13"/>
    </row>
    <row r="70" spans="2:7" x14ac:dyDescent="0.3">
      <c r="B70" s="31"/>
      <c r="C70" s="31"/>
      <c r="D70" s="32"/>
      <c r="E70" s="33"/>
      <c r="F70" s="33">
        <f t="shared" si="0"/>
        <v>0</v>
      </c>
      <c r="G70" s="33"/>
    </row>
    <row r="71" spans="2:7" x14ac:dyDescent="0.3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3">
      <c r="B72" s="31"/>
      <c r="C72" s="31"/>
      <c r="D72" s="32"/>
      <c r="E72" s="33"/>
      <c r="F72" s="33">
        <f t="shared" si="1"/>
        <v>0</v>
      </c>
      <c r="G72" s="33"/>
    </row>
    <row r="73" spans="2:7" x14ac:dyDescent="0.3">
      <c r="B73" s="15"/>
      <c r="C73" s="15"/>
      <c r="D73" s="17"/>
      <c r="E73" s="13"/>
      <c r="F73" s="13">
        <f t="shared" si="1"/>
        <v>0</v>
      </c>
      <c r="G73" s="13"/>
    </row>
    <row r="74" spans="2:7" x14ac:dyDescent="0.3">
      <c r="B74" s="31"/>
      <c r="C74" s="31"/>
      <c r="D74" s="32"/>
      <c r="E74" s="33"/>
      <c r="F74" s="33">
        <f t="shared" si="1"/>
        <v>0</v>
      </c>
      <c r="G74" s="33"/>
    </row>
    <row r="75" spans="2:7" x14ac:dyDescent="0.3">
      <c r="B75" s="15"/>
      <c r="C75" s="15"/>
      <c r="D75" s="17"/>
      <c r="E75" s="13"/>
      <c r="F75" s="13">
        <f t="shared" si="1"/>
        <v>0</v>
      </c>
      <c r="G75" s="13"/>
    </row>
    <row r="76" spans="2:7" x14ac:dyDescent="0.3">
      <c r="B76" s="31"/>
      <c r="C76" s="31"/>
      <c r="D76" s="32"/>
      <c r="E76" s="33"/>
      <c r="F76" s="33">
        <f t="shared" si="1"/>
        <v>0</v>
      </c>
      <c r="G76" s="33"/>
    </row>
    <row r="77" spans="2:7" x14ac:dyDescent="0.3">
      <c r="B77" s="15"/>
      <c r="C77" s="21"/>
      <c r="D77" s="22"/>
      <c r="E77" s="23"/>
      <c r="F77" s="23">
        <f t="shared" si="1"/>
        <v>0</v>
      </c>
      <c r="G77" s="13"/>
    </row>
    <row r="78" spans="2:7" x14ac:dyDescent="0.3">
      <c r="B78" s="31"/>
      <c r="C78" s="31"/>
      <c r="D78" s="32"/>
      <c r="E78" s="33"/>
      <c r="F78" s="33">
        <f t="shared" si="1"/>
        <v>0</v>
      </c>
      <c r="G78" s="33"/>
    </row>
    <row r="79" spans="2:7" x14ac:dyDescent="0.3">
      <c r="B79" s="15"/>
      <c r="C79" s="15"/>
      <c r="D79" s="17"/>
      <c r="E79" s="13"/>
      <c r="F79" s="13">
        <f t="shared" si="1"/>
        <v>0</v>
      </c>
      <c r="G79" s="13"/>
    </row>
    <row r="80" spans="2:7" x14ac:dyDescent="0.3">
      <c r="B80" s="31"/>
      <c r="C80" s="31"/>
      <c r="D80" s="32"/>
      <c r="E80" s="33"/>
      <c r="F80" s="33">
        <f t="shared" si="1"/>
        <v>0</v>
      </c>
      <c r="G80" s="33"/>
    </row>
    <row r="81" spans="2:7" x14ac:dyDescent="0.3">
      <c r="B81" s="15"/>
      <c r="C81" s="15"/>
      <c r="D81" s="17"/>
      <c r="E81" s="13"/>
      <c r="F81" s="13">
        <f t="shared" si="1"/>
        <v>0</v>
      </c>
      <c r="G81" s="13"/>
    </row>
    <row r="82" spans="2:7" x14ac:dyDescent="0.3">
      <c r="B82" s="31"/>
      <c r="C82" s="31"/>
      <c r="D82" s="32"/>
      <c r="E82" s="33"/>
      <c r="F82" s="33">
        <f t="shared" si="1"/>
        <v>0</v>
      </c>
      <c r="G82" s="33"/>
    </row>
    <row r="83" spans="2:7" x14ac:dyDescent="0.3">
      <c r="B83" s="15"/>
      <c r="C83" s="21"/>
      <c r="D83" s="22"/>
      <c r="E83" s="23"/>
      <c r="F83" s="23">
        <f t="shared" si="1"/>
        <v>0</v>
      </c>
      <c r="G83" s="13"/>
    </row>
    <row r="84" spans="2:7" x14ac:dyDescent="0.3">
      <c r="B84" s="31"/>
      <c r="C84" s="31"/>
      <c r="D84" s="32"/>
      <c r="E84" s="33"/>
      <c r="F84" s="33">
        <f t="shared" si="1"/>
        <v>0</v>
      </c>
      <c r="G84" s="33"/>
    </row>
    <row r="85" spans="2:7" x14ac:dyDescent="0.3">
      <c r="B85" s="15"/>
      <c r="C85" s="15"/>
      <c r="D85" s="17"/>
      <c r="E85" s="13"/>
      <c r="F85" s="13">
        <f t="shared" si="1"/>
        <v>0</v>
      </c>
      <c r="G85" s="13"/>
    </row>
    <row r="86" spans="2:7" x14ac:dyDescent="0.3">
      <c r="B86" s="31"/>
      <c r="C86" s="31"/>
      <c r="D86" s="32"/>
      <c r="E86" s="33"/>
      <c r="F86" s="33">
        <f t="shared" si="1"/>
        <v>0</v>
      </c>
      <c r="G86" s="33"/>
    </row>
    <row r="87" spans="2:7" x14ac:dyDescent="0.3">
      <c r="B87" s="15"/>
      <c r="C87" s="15"/>
      <c r="D87" s="17"/>
      <c r="E87" s="13"/>
      <c r="F87" s="13">
        <f t="shared" si="1"/>
        <v>0</v>
      </c>
      <c r="G87" s="13"/>
    </row>
    <row r="88" spans="2:7" x14ac:dyDescent="0.3">
      <c r="B88" s="31"/>
      <c r="C88" s="31"/>
      <c r="D88" s="32"/>
      <c r="E88" s="33"/>
      <c r="F88" s="33">
        <f t="shared" si="1"/>
        <v>0</v>
      </c>
      <c r="G88" s="33"/>
    </row>
    <row r="89" spans="2:7" x14ac:dyDescent="0.3">
      <c r="B89" s="15"/>
      <c r="C89" s="21"/>
      <c r="D89" s="22"/>
      <c r="E89" s="23"/>
      <c r="F89" s="23">
        <f t="shared" si="1"/>
        <v>0</v>
      </c>
      <c r="G89" s="13"/>
    </row>
    <row r="90" spans="2:7" x14ac:dyDescent="0.3">
      <c r="B90" s="31"/>
      <c r="C90" s="31"/>
      <c r="D90" s="32"/>
      <c r="E90" s="33"/>
      <c r="F90" s="33">
        <f t="shared" si="1"/>
        <v>0</v>
      </c>
      <c r="G90" s="33"/>
    </row>
    <row r="91" spans="2:7" x14ac:dyDescent="0.3">
      <c r="B91" s="15"/>
      <c r="C91" s="15"/>
      <c r="D91" s="17"/>
      <c r="E91" s="13"/>
      <c r="F91" s="13">
        <f t="shared" si="1"/>
        <v>0</v>
      </c>
      <c r="G91" s="13"/>
    </row>
    <row r="92" spans="2:7" x14ac:dyDescent="0.3">
      <c r="B92" s="31"/>
      <c r="C92" s="31"/>
      <c r="D92" s="32"/>
      <c r="E92" s="33"/>
      <c r="F92" s="33">
        <f t="shared" si="1"/>
        <v>0</v>
      </c>
      <c r="G92" s="33"/>
    </row>
    <row r="93" spans="2:7" x14ac:dyDescent="0.3">
      <c r="B93" s="15"/>
      <c r="C93" s="15"/>
      <c r="D93" s="17"/>
      <c r="E93" s="13"/>
      <c r="F93" s="13">
        <f t="shared" si="1"/>
        <v>0</v>
      </c>
      <c r="G93" s="13"/>
    </row>
    <row r="94" spans="2:7" x14ac:dyDescent="0.3">
      <c r="B94" s="31"/>
      <c r="C94" s="31"/>
      <c r="D94" s="32"/>
      <c r="E94" s="33"/>
      <c r="F94" s="33">
        <f t="shared" si="1"/>
        <v>0</v>
      </c>
      <c r="G94" s="33"/>
    </row>
    <row r="95" spans="2:7" x14ac:dyDescent="0.3">
      <c r="B95" s="15"/>
      <c r="C95" s="21"/>
      <c r="D95" s="22"/>
      <c r="E95" s="23"/>
      <c r="F95" s="23">
        <f t="shared" si="1"/>
        <v>0</v>
      </c>
      <c r="G95" s="13"/>
    </row>
    <row r="96" spans="2:7" x14ac:dyDescent="0.3">
      <c r="B96" s="31"/>
      <c r="C96" s="31"/>
      <c r="D96" s="32"/>
      <c r="E96" s="33"/>
      <c r="F96" s="33">
        <f t="shared" si="1"/>
        <v>0</v>
      </c>
      <c r="G96" s="33"/>
    </row>
    <row r="97" spans="2:7" x14ac:dyDescent="0.3">
      <c r="B97" s="15"/>
      <c r="C97" s="15"/>
      <c r="D97" s="17"/>
      <c r="E97" s="13"/>
      <c r="F97" s="13">
        <f t="shared" si="1"/>
        <v>0</v>
      </c>
      <c r="G97" s="13"/>
    </row>
    <row r="98" spans="2:7" x14ac:dyDescent="0.3">
      <c r="B98" s="31"/>
      <c r="C98" s="31"/>
      <c r="D98" s="32"/>
      <c r="E98" s="33"/>
      <c r="F98" s="33">
        <f t="shared" si="1"/>
        <v>0</v>
      </c>
      <c r="G98" s="33"/>
    </row>
    <row r="99" spans="2:7" x14ac:dyDescent="0.3">
      <c r="B99" s="15"/>
      <c r="C99" s="15"/>
      <c r="D99" s="17"/>
      <c r="E99" s="13"/>
      <c r="F99" s="13">
        <f t="shared" si="1"/>
        <v>0</v>
      </c>
      <c r="G99" s="13"/>
    </row>
    <row r="100" spans="2:7" x14ac:dyDescent="0.3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3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3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3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3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3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3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3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3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3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3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3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3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3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3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3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3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3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3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3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3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3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3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3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3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3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3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3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3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3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3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3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3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3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3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3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3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3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3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3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3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3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3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3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3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3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3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3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3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3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3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3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3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3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3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3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3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3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3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3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3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3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3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3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3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3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3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3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3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3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3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3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3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3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3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3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3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3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3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3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3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3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3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3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3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3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3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3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3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3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3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3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3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3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3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3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3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3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3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3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3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3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3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3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3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3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3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3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3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3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3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3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3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3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3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3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3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3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3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3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3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3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3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3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3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3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3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3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3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3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3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3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3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3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3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3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3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3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3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3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3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3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3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3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3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3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3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3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3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3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3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3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3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3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3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3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3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3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3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3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3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3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3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3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3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3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3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3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3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3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3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3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3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3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3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3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3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3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3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3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3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3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3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3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3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3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3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3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3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3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3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3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3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3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3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3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3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3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3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3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3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3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3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3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3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3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3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3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3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3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3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3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3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3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3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3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3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3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3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3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3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3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3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3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3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3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3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3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3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3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3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3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3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3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3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3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3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3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3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3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3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3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3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3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3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3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3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3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3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3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3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3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3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3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3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3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3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3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3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3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3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3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3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3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3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3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3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3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3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3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3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3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3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3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3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3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3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3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3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3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3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3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3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3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3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3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3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3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3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3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3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3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3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3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3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3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3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3">
      <c r="B397" s="15"/>
      <c r="C397" s="15"/>
      <c r="D397" s="17"/>
      <c r="E397" s="13"/>
      <c r="F397" s="13"/>
      <c r="G397" s="13"/>
    </row>
    <row r="398" spans="2:7" x14ac:dyDescent="0.3">
      <c r="B398" s="31"/>
      <c r="C398" s="31"/>
      <c r="D398" s="32"/>
      <c r="E398" s="33"/>
      <c r="F398" s="33"/>
      <c r="G398" s="33"/>
    </row>
    <row r="401" spans="2:8" x14ac:dyDescent="0.3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3">
      <c r="D403" s="84" t="s">
        <v>53</v>
      </c>
      <c r="E403" s="29">
        <v>0.1</v>
      </c>
    </row>
    <row r="404" spans="2:8" x14ac:dyDescent="0.3">
      <c r="D404" s="36" t="s">
        <v>18</v>
      </c>
      <c r="E404" s="33">
        <v>110</v>
      </c>
    </row>
    <row r="405" spans="2:8" x14ac:dyDescent="0.3">
      <c r="D405" s="24" t="s">
        <v>19</v>
      </c>
      <c r="E405" s="30">
        <v>0.4</v>
      </c>
    </row>
    <row r="406" spans="2:8" x14ac:dyDescent="0.3">
      <c r="D406" s="36" t="s">
        <v>23</v>
      </c>
      <c r="E406" s="34">
        <v>0.2</v>
      </c>
      <c r="G406" s="86"/>
    </row>
    <row r="407" spans="2:8" x14ac:dyDescent="0.3">
      <c r="F407" s="27"/>
    </row>
    <row r="408" spans="2:8" x14ac:dyDescent="0.3">
      <c r="F408" s="27"/>
    </row>
    <row r="409" spans="2:8" x14ac:dyDescent="0.3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3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3">
      <c r="F411" s="27"/>
      <c r="G411" s="88" t="s">
        <v>57</v>
      </c>
      <c r="H411" s="90">
        <v>8.8749999999999996E-2</v>
      </c>
    </row>
    <row r="412" spans="2:8" x14ac:dyDescent="0.3">
      <c r="F412" s="27"/>
    </row>
    <row r="413" spans="2:8" x14ac:dyDescent="0.3">
      <c r="D413" s="37" t="s">
        <v>17</v>
      </c>
      <c r="E413" s="28">
        <f>F401*(1+E403)</f>
        <v>0</v>
      </c>
    </row>
    <row r="414" spans="2:8" x14ac:dyDescent="0.3">
      <c r="D414" s="36" t="s">
        <v>20</v>
      </c>
      <c r="E414" s="35">
        <f>B401*E404</f>
        <v>0</v>
      </c>
    </row>
    <row r="415" spans="2:8" x14ac:dyDescent="0.3">
      <c r="D415" s="37" t="s">
        <v>21</v>
      </c>
      <c r="E415" s="28">
        <f>E414*E405</f>
        <v>0</v>
      </c>
    </row>
    <row r="416" spans="2:8" x14ac:dyDescent="0.3">
      <c r="D416" s="38" t="s">
        <v>22</v>
      </c>
      <c r="E416" s="35">
        <f>E414*E406</f>
        <v>0</v>
      </c>
    </row>
    <row r="417" spans="4:8" x14ac:dyDescent="0.3">
      <c r="D417" s="39" t="s">
        <v>28</v>
      </c>
      <c r="E417" s="40">
        <f>SUM(E413:E416)</f>
        <v>0</v>
      </c>
    </row>
    <row r="420" spans="4:8" x14ac:dyDescent="0.3">
      <c r="D420" s="24" t="s">
        <v>24</v>
      </c>
      <c r="E420" s="44">
        <v>0.4</v>
      </c>
    </row>
    <row r="421" spans="4:8" x14ac:dyDescent="0.3">
      <c r="D421" s="39" t="s">
        <v>25</v>
      </c>
      <c r="E421" s="41">
        <f>E417*(1+E420)</f>
        <v>0</v>
      </c>
    </row>
    <row r="422" spans="4:8" x14ac:dyDescent="0.3">
      <c r="D422" s="26"/>
    </row>
    <row r="424" spans="4:8" x14ac:dyDescent="0.3">
      <c r="D424" s="84" t="s">
        <v>47</v>
      </c>
      <c r="E424" s="13"/>
    </row>
    <row r="425" spans="4:8" x14ac:dyDescent="0.3">
      <c r="D425" s="83" t="s">
        <v>50</v>
      </c>
      <c r="E425" s="33"/>
    </row>
    <row r="426" spans="4:8" x14ac:dyDescent="0.3">
      <c r="D426" s="84" t="s">
        <v>49</v>
      </c>
      <c r="E426" s="44">
        <v>0.25</v>
      </c>
    </row>
    <row r="427" spans="4:8" x14ac:dyDescent="0.3">
      <c r="D427" s="39" t="s">
        <v>51</v>
      </c>
      <c r="E427" s="41">
        <f>(E424+E425)*(1+E426)</f>
        <v>0</v>
      </c>
    </row>
    <row r="430" spans="4:8" x14ac:dyDescent="0.3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3">
      <c r="D431" s="36" t="s">
        <v>26</v>
      </c>
      <c r="E431" s="33">
        <f>G401*(1+E430)</f>
        <v>0</v>
      </c>
      <c r="G431" s="13"/>
      <c r="H431" s="13"/>
    </row>
    <row r="432" spans="4:8" x14ac:dyDescent="0.3">
      <c r="D432" s="24" t="s">
        <v>27</v>
      </c>
      <c r="E432" s="44">
        <v>0.25</v>
      </c>
      <c r="G432" s="33"/>
      <c r="H432" s="33"/>
    </row>
    <row r="433" spans="4:8" x14ac:dyDescent="0.3">
      <c r="D433" s="39" t="s">
        <v>29</v>
      </c>
      <c r="E433" s="41">
        <f>E431*(1+E432)</f>
        <v>0</v>
      </c>
      <c r="G433" s="13"/>
      <c r="H433" s="13"/>
    </row>
    <row r="434" spans="4:8" x14ac:dyDescent="0.3">
      <c r="D434" s="19"/>
      <c r="E434" s="18"/>
      <c r="G434" s="33"/>
      <c r="H434" s="33"/>
    </row>
    <row r="435" spans="4:8" x14ac:dyDescent="0.3">
      <c r="G435" s="13"/>
      <c r="H435" s="13"/>
    </row>
    <row r="436" spans="4:8" x14ac:dyDescent="0.3">
      <c r="D436" s="42" t="s">
        <v>10</v>
      </c>
      <c r="E436" s="43">
        <f>E421+E433+E410+E427</f>
        <v>0</v>
      </c>
    </row>
    <row r="437" spans="4:8" x14ac:dyDescent="0.3">
      <c r="D437" s="82" t="s">
        <v>43</v>
      </c>
      <c r="E437" s="46" t="e">
        <f>(E436-(E431+E417))/E436</f>
        <v>#DIV/0!</v>
      </c>
    </row>
    <row r="438" spans="4:8" x14ac:dyDescent="0.3">
      <c r="D438" s="20"/>
    </row>
    <row r="440" spans="4:8" x14ac:dyDescent="0.3">
      <c r="D440" s="25" t="s">
        <v>30</v>
      </c>
      <c r="E440" s="30">
        <v>0.15</v>
      </c>
    </row>
    <row r="441" spans="4:8" x14ac:dyDescent="0.3">
      <c r="D441" s="81" t="s">
        <v>42</v>
      </c>
      <c r="E441" s="43">
        <f>E436*(1+E440)</f>
        <v>0</v>
      </c>
    </row>
    <row r="442" spans="4:8" x14ac:dyDescent="0.3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01E6-0AA4-4983-961E-90EE06755BDB}">
  <dimension ref="B4:H442"/>
  <sheetViews>
    <sheetView showGridLines="0" topLeftCell="A402" zoomScale="85" zoomScaleNormal="85" workbookViewId="0">
      <selection activeCell="E436" sqref="E436"/>
    </sheetView>
  </sheetViews>
  <sheetFormatPr defaultRowHeight="14.4" x14ac:dyDescent="0.3"/>
  <cols>
    <col min="1" max="1" width="8.44140625" customWidth="1"/>
    <col min="2" max="2" width="12.5546875" style="16" customWidth="1"/>
    <col min="3" max="3" width="11.5546875" style="16" customWidth="1"/>
    <col min="4" max="4" width="107.33203125" customWidth="1"/>
    <col min="5" max="5" width="15.5546875" style="14" customWidth="1"/>
    <col min="6" max="6" width="15.88671875" style="14" customWidth="1"/>
    <col min="7" max="7" width="16.6640625" style="14" customWidth="1"/>
    <col min="8" max="8" width="14.21875" customWidth="1"/>
  </cols>
  <sheetData>
    <row r="4" spans="2:7" x14ac:dyDescent="0.3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3">
      <c r="B5" s="15"/>
      <c r="C5" s="21"/>
      <c r="D5" s="22"/>
      <c r="E5" s="23"/>
      <c r="F5" s="23"/>
      <c r="G5" s="13"/>
    </row>
    <row r="6" spans="2:7" x14ac:dyDescent="0.3">
      <c r="B6" s="31"/>
      <c r="C6" s="31"/>
      <c r="D6" s="32"/>
      <c r="E6" s="33"/>
      <c r="F6" s="33">
        <f>E6*C6</f>
        <v>0</v>
      </c>
      <c r="G6" s="33"/>
    </row>
    <row r="7" spans="2:7" x14ac:dyDescent="0.3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3">
      <c r="B8" s="31"/>
      <c r="C8" s="31"/>
      <c r="D8" s="32"/>
      <c r="E8" s="33"/>
      <c r="F8" s="33">
        <f t="shared" si="0"/>
        <v>0</v>
      </c>
      <c r="G8" s="33"/>
    </row>
    <row r="9" spans="2:7" x14ac:dyDescent="0.3">
      <c r="B9" s="15"/>
      <c r="C9" s="15"/>
      <c r="D9" s="17"/>
      <c r="E9" s="13"/>
      <c r="F9" s="13">
        <f t="shared" si="0"/>
        <v>0</v>
      </c>
      <c r="G9" s="13"/>
    </row>
    <row r="10" spans="2:7" x14ac:dyDescent="0.3">
      <c r="B10" s="31"/>
      <c r="C10" s="31"/>
      <c r="D10" s="32"/>
      <c r="E10" s="33"/>
      <c r="F10" s="33">
        <f t="shared" si="0"/>
        <v>0</v>
      </c>
      <c r="G10" s="33"/>
    </row>
    <row r="11" spans="2:7" x14ac:dyDescent="0.3">
      <c r="B11" s="15"/>
      <c r="C11" s="21"/>
      <c r="D11" s="22"/>
      <c r="E11" s="23"/>
      <c r="F11" s="23">
        <f t="shared" si="0"/>
        <v>0</v>
      </c>
      <c r="G11" s="13"/>
    </row>
    <row r="12" spans="2:7" x14ac:dyDescent="0.3">
      <c r="B12" s="31"/>
      <c r="C12" s="31"/>
      <c r="D12" s="32"/>
      <c r="E12" s="33"/>
      <c r="F12" s="33">
        <f t="shared" si="0"/>
        <v>0</v>
      </c>
      <c r="G12" s="33"/>
    </row>
    <row r="13" spans="2:7" x14ac:dyDescent="0.3">
      <c r="B13" s="15"/>
      <c r="C13" s="15"/>
      <c r="D13" s="17"/>
      <c r="E13" s="13"/>
      <c r="F13" s="13">
        <f t="shared" si="0"/>
        <v>0</v>
      </c>
      <c r="G13" s="13"/>
    </row>
    <row r="14" spans="2:7" x14ac:dyDescent="0.3">
      <c r="B14" s="31"/>
      <c r="C14" s="31"/>
      <c r="D14" s="32"/>
      <c r="E14" s="33"/>
      <c r="F14" s="33">
        <f t="shared" si="0"/>
        <v>0</v>
      </c>
      <c r="G14" s="33"/>
    </row>
    <row r="15" spans="2:7" x14ac:dyDescent="0.3">
      <c r="B15" s="15"/>
      <c r="C15" s="15"/>
      <c r="D15" s="17"/>
      <c r="E15" s="13"/>
      <c r="F15" s="13">
        <f t="shared" si="0"/>
        <v>0</v>
      </c>
      <c r="G15" s="13"/>
    </row>
    <row r="16" spans="2:7" x14ac:dyDescent="0.3">
      <c r="B16" s="31"/>
      <c r="C16" s="31"/>
      <c r="D16" s="32"/>
      <c r="E16" s="33"/>
      <c r="F16" s="33">
        <f t="shared" si="0"/>
        <v>0</v>
      </c>
      <c r="G16" s="33"/>
    </row>
    <row r="17" spans="2:7" x14ac:dyDescent="0.3">
      <c r="B17" s="15"/>
      <c r="C17" s="21"/>
      <c r="D17" s="22"/>
      <c r="E17" s="23"/>
      <c r="F17" s="23">
        <f t="shared" si="0"/>
        <v>0</v>
      </c>
      <c r="G17" s="13"/>
    </row>
    <row r="18" spans="2:7" x14ac:dyDescent="0.3">
      <c r="B18" s="31"/>
      <c r="C18" s="31"/>
      <c r="D18" s="32"/>
      <c r="E18" s="33"/>
      <c r="F18" s="33">
        <f t="shared" si="0"/>
        <v>0</v>
      </c>
      <c r="G18" s="33"/>
    </row>
    <row r="19" spans="2:7" x14ac:dyDescent="0.3">
      <c r="B19" s="15"/>
      <c r="C19" s="15"/>
      <c r="D19" s="17"/>
      <c r="E19" s="13"/>
      <c r="F19" s="13">
        <f t="shared" si="0"/>
        <v>0</v>
      </c>
      <c r="G19" s="13"/>
    </row>
    <row r="20" spans="2:7" x14ac:dyDescent="0.3">
      <c r="B20" s="31"/>
      <c r="C20" s="31"/>
      <c r="D20" s="32"/>
      <c r="E20" s="33"/>
      <c r="F20" s="33">
        <f t="shared" si="0"/>
        <v>0</v>
      </c>
      <c r="G20" s="33"/>
    </row>
    <row r="21" spans="2:7" x14ac:dyDescent="0.3">
      <c r="B21" s="15"/>
      <c r="C21" s="15"/>
      <c r="D21" s="17"/>
      <c r="E21" s="13"/>
      <c r="F21" s="13">
        <f t="shared" si="0"/>
        <v>0</v>
      </c>
      <c r="G21" s="13"/>
    </row>
    <row r="22" spans="2:7" x14ac:dyDescent="0.3">
      <c r="B22" s="31"/>
      <c r="C22" s="31"/>
      <c r="D22" s="32"/>
      <c r="E22" s="33"/>
      <c r="F22" s="33">
        <f t="shared" si="0"/>
        <v>0</v>
      </c>
      <c r="G22" s="33"/>
    </row>
    <row r="23" spans="2:7" x14ac:dyDescent="0.3">
      <c r="B23" s="15"/>
      <c r="C23" s="21"/>
      <c r="D23" s="22"/>
      <c r="E23" s="23"/>
      <c r="F23" s="23">
        <f t="shared" si="0"/>
        <v>0</v>
      </c>
      <c r="G23" s="13"/>
    </row>
    <row r="24" spans="2:7" x14ac:dyDescent="0.3">
      <c r="B24" s="31"/>
      <c r="C24" s="31"/>
      <c r="D24" s="32"/>
      <c r="E24" s="33"/>
      <c r="F24" s="33">
        <f t="shared" si="0"/>
        <v>0</v>
      </c>
      <c r="G24" s="33"/>
    </row>
    <row r="25" spans="2:7" x14ac:dyDescent="0.3">
      <c r="B25" s="15"/>
      <c r="C25" s="15"/>
      <c r="D25" s="17"/>
      <c r="E25" s="13"/>
      <c r="F25" s="13">
        <f t="shared" si="0"/>
        <v>0</v>
      </c>
      <c r="G25" s="13"/>
    </row>
    <row r="26" spans="2:7" x14ac:dyDescent="0.3">
      <c r="B26" s="31"/>
      <c r="C26" s="31"/>
      <c r="D26" s="32"/>
      <c r="E26" s="33"/>
      <c r="F26" s="33">
        <f t="shared" si="0"/>
        <v>0</v>
      </c>
      <c r="G26" s="33"/>
    </row>
    <row r="27" spans="2:7" x14ac:dyDescent="0.3">
      <c r="B27" s="15"/>
      <c r="C27" s="15"/>
      <c r="D27" s="17"/>
      <c r="E27" s="13"/>
      <c r="F27" s="13">
        <f t="shared" si="0"/>
        <v>0</v>
      </c>
      <c r="G27" s="13"/>
    </row>
    <row r="28" spans="2:7" x14ac:dyDescent="0.3">
      <c r="B28" s="31"/>
      <c r="C28" s="31"/>
      <c r="D28" s="32"/>
      <c r="E28" s="33"/>
      <c r="F28" s="33">
        <f t="shared" si="0"/>
        <v>0</v>
      </c>
      <c r="G28" s="33"/>
    </row>
    <row r="29" spans="2:7" x14ac:dyDescent="0.3">
      <c r="B29" s="15"/>
      <c r="C29" s="21"/>
      <c r="D29" s="22"/>
      <c r="E29" s="23"/>
      <c r="F29" s="23">
        <f t="shared" si="0"/>
        <v>0</v>
      </c>
      <c r="G29" s="13"/>
    </row>
    <row r="30" spans="2:7" x14ac:dyDescent="0.3">
      <c r="B30" s="31"/>
      <c r="C30" s="31"/>
      <c r="D30" s="32"/>
      <c r="E30" s="33"/>
      <c r="F30" s="33">
        <f t="shared" si="0"/>
        <v>0</v>
      </c>
      <c r="G30" s="33"/>
    </row>
    <row r="31" spans="2:7" x14ac:dyDescent="0.3">
      <c r="B31" s="15"/>
      <c r="C31" s="15"/>
      <c r="D31" s="17"/>
      <c r="E31" s="13"/>
      <c r="F31" s="13">
        <f t="shared" si="0"/>
        <v>0</v>
      </c>
      <c r="G31" s="13"/>
    </row>
    <row r="32" spans="2:7" x14ac:dyDescent="0.3">
      <c r="B32" s="31"/>
      <c r="C32" s="31"/>
      <c r="D32" s="32"/>
      <c r="E32" s="33"/>
      <c r="F32" s="33">
        <f t="shared" si="0"/>
        <v>0</v>
      </c>
      <c r="G32" s="33"/>
    </row>
    <row r="33" spans="2:7" x14ac:dyDescent="0.3">
      <c r="B33" s="15"/>
      <c r="C33" s="15"/>
      <c r="D33" s="17"/>
      <c r="E33" s="13"/>
      <c r="F33" s="13">
        <f t="shared" si="0"/>
        <v>0</v>
      </c>
      <c r="G33" s="13"/>
    </row>
    <row r="34" spans="2:7" x14ac:dyDescent="0.3">
      <c r="B34" s="31"/>
      <c r="C34" s="31"/>
      <c r="D34" s="32"/>
      <c r="E34" s="33"/>
      <c r="F34" s="33">
        <f t="shared" si="0"/>
        <v>0</v>
      </c>
      <c r="G34" s="33"/>
    </row>
    <row r="35" spans="2:7" x14ac:dyDescent="0.3">
      <c r="B35" s="15"/>
      <c r="C35" s="21"/>
      <c r="D35" s="22"/>
      <c r="E35" s="23"/>
      <c r="F35" s="23">
        <f t="shared" si="0"/>
        <v>0</v>
      </c>
      <c r="G35" s="13"/>
    </row>
    <row r="36" spans="2:7" x14ac:dyDescent="0.3">
      <c r="B36" s="31"/>
      <c r="C36" s="31"/>
      <c r="D36" s="32"/>
      <c r="E36" s="33"/>
      <c r="F36" s="33">
        <f t="shared" si="0"/>
        <v>0</v>
      </c>
      <c r="G36" s="33"/>
    </row>
    <row r="37" spans="2:7" x14ac:dyDescent="0.3">
      <c r="B37" s="15"/>
      <c r="C37" s="15"/>
      <c r="D37" s="17"/>
      <c r="E37" s="13"/>
      <c r="F37" s="13">
        <f t="shared" si="0"/>
        <v>0</v>
      </c>
      <c r="G37" s="13"/>
    </row>
    <row r="38" spans="2:7" x14ac:dyDescent="0.3">
      <c r="B38" s="31"/>
      <c r="C38" s="31"/>
      <c r="D38" s="32"/>
      <c r="E38" s="33"/>
      <c r="F38" s="33">
        <f t="shared" si="0"/>
        <v>0</v>
      </c>
      <c r="G38" s="33"/>
    </row>
    <row r="39" spans="2:7" x14ac:dyDescent="0.3">
      <c r="B39" s="15"/>
      <c r="C39" s="15"/>
      <c r="D39" s="17"/>
      <c r="E39" s="13"/>
      <c r="F39" s="13">
        <f t="shared" si="0"/>
        <v>0</v>
      </c>
      <c r="G39" s="13"/>
    </row>
    <row r="40" spans="2:7" x14ac:dyDescent="0.3">
      <c r="B40" s="31"/>
      <c r="C40" s="31"/>
      <c r="D40" s="32"/>
      <c r="E40" s="33"/>
      <c r="F40" s="33">
        <f t="shared" si="0"/>
        <v>0</v>
      </c>
      <c r="G40" s="33"/>
    </row>
    <row r="41" spans="2:7" x14ac:dyDescent="0.3">
      <c r="B41" s="15"/>
      <c r="C41" s="21"/>
      <c r="D41" s="22"/>
      <c r="E41" s="23"/>
      <c r="F41" s="23">
        <f t="shared" si="0"/>
        <v>0</v>
      </c>
      <c r="G41" s="13"/>
    </row>
    <row r="42" spans="2:7" x14ac:dyDescent="0.3">
      <c r="B42" s="31"/>
      <c r="C42" s="31"/>
      <c r="D42" s="32"/>
      <c r="E42" s="33"/>
      <c r="F42" s="33">
        <f t="shared" si="0"/>
        <v>0</v>
      </c>
      <c r="G42" s="33"/>
    </row>
    <row r="43" spans="2:7" x14ac:dyDescent="0.3">
      <c r="B43" s="15"/>
      <c r="C43" s="15"/>
      <c r="D43" s="17"/>
      <c r="E43" s="13"/>
      <c r="F43" s="13">
        <f t="shared" si="0"/>
        <v>0</v>
      </c>
      <c r="G43" s="13"/>
    </row>
    <row r="44" spans="2:7" x14ac:dyDescent="0.3">
      <c r="B44" s="31"/>
      <c r="C44" s="31"/>
      <c r="D44" s="32"/>
      <c r="E44" s="33"/>
      <c r="F44" s="33">
        <f t="shared" si="0"/>
        <v>0</v>
      </c>
      <c r="G44" s="33"/>
    </row>
    <row r="45" spans="2:7" x14ac:dyDescent="0.3">
      <c r="B45" s="15"/>
      <c r="C45" s="15"/>
      <c r="D45" s="17"/>
      <c r="E45" s="13"/>
      <c r="F45" s="13">
        <f t="shared" si="0"/>
        <v>0</v>
      </c>
      <c r="G45" s="13"/>
    </row>
    <row r="46" spans="2:7" x14ac:dyDescent="0.3">
      <c r="B46" s="31"/>
      <c r="C46" s="31"/>
      <c r="D46" s="32"/>
      <c r="E46" s="33"/>
      <c r="F46" s="33">
        <f t="shared" si="0"/>
        <v>0</v>
      </c>
      <c r="G46" s="33"/>
    </row>
    <row r="47" spans="2:7" x14ac:dyDescent="0.3">
      <c r="B47" s="15"/>
      <c r="C47" s="21"/>
      <c r="D47" s="22"/>
      <c r="E47" s="23"/>
      <c r="F47" s="23">
        <f t="shared" si="0"/>
        <v>0</v>
      </c>
      <c r="G47" s="13"/>
    </row>
    <row r="48" spans="2:7" x14ac:dyDescent="0.3">
      <c r="B48" s="31"/>
      <c r="C48" s="31"/>
      <c r="D48" s="32"/>
      <c r="E48" s="33"/>
      <c r="F48" s="33">
        <f t="shared" si="0"/>
        <v>0</v>
      </c>
      <c r="G48" s="33"/>
    </row>
    <row r="49" spans="2:7" x14ac:dyDescent="0.3">
      <c r="B49" s="15"/>
      <c r="C49" s="15"/>
      <c r="D49" s="17"/>
      <c r="E49" s="13"/>
      <c r="F49" s="13">
        <f t="shared" si="0"/>
        <v>0</v>
      </c>
      <c r="G49" s="13"/>
    </row>
    <row r="50" spans="2:7" x14ac:dyDescent="0.3">
      <c r="B50" s="31"/>
      <c r="C50" s="31"/>
      <c r="D50" s="32"/>
      <c r="E50" s="33"/>
      <c r="F50" s="33">
        <f t="shared" si="0"/>
        <v>0</v>
      </c>
      <c r="G50" s="33"/>
    </row>
    <row r="51" spans="2:7" x14ac:dyDescent="0.3">
      <c r="B51" s="15"/>
      <c r="C51" s="15"/>
      <c r="D51" s="17"/>
      <c r="E51" s="13"/>
      <c r="F51" s="13">
        <f t="shared" si="0"/>
        <v>0</v>
      </c>
      <c r="G51" s="13"/>
    </row>
    <row r="52" spans="2:7" x14ac:dyDescent="0.3">
      <c r="B52" s="31"/>
      <c r="C52" s="31"/>
      <c r="D52" s="32"/>
      <c r="E52" s="33"/>
      <c r="F52" s="33">
        <f t="shared" si="0"/>
        <v>0</v>
      </c>
      <c r="G52" s="33"/>
    </row>
    <row r="53" spans="2:7" x14ac:dyDescent="0.3">
      <c r="B53" s="15"/>
      <c r="C53" s="21"/>
      <c r="D53" s="22"/>
      <c r="E53" s="23"/>
      <c r="F53" s="23">
        <f t="shared" si="0"/>
        <v>0</v>
      </c>
      <c r="G53" s="13"/>
    </row>
    <row r="54" spans="2:7" x14ac:dyDescent="0.3">
      <c r="B54" s="31"/>
      <c r="C54" s="31"/>
      <c r="D54" s="32"/>
      <c r="E54" s="33"/>
      <c r="F54" s="33">
        <f t="shared" si="0"/>
        <v>0</v>
      </c>
      <c r="G54" s="33"/>
    </row>
    <row r="55" spans="2:7" x14ac:dyDescent="0.3">
      <c r="B55" s="15"/>
      <c r="C55" s="15"/>
      <c r="D55" s="17"/>
      <c r="E55" s="13"/>
      <c r="F55" s="13">
        <f t="shared" si="0"/>
        <v>0</v>
      </c>
      <c r="G55" s="13"/>
    </row>
    <row r="56" spans="2:7" x14ac:dyDescent="0.3">
      <c r="B56" s="31"/>
      <c r="C56" s="31"/>
      <c r="D56" s="32"/>
      <c r="E56" s="33"/>
      <c r="F56" s="33">
        <f t="shared" si="0"/>
        <v>0</v>
      </c>
      <c r="G56" s="33"/>
    </row>
    <row r="57" spans="2:7" x14ac:dyDescent="0.3">
      <c r="B57" s="15"/>
      <c r="C57" s="15"/>
      <c r="D57" s="17"/>
      <c r="E57" s="13"/>
      <c r="F57" s="13">
        <f t="shared" si="0"/>
        <v>0</v>
      </c>
      <c r="G57" s="13"/>
    </row>
    <row r="58" spans="2:7" x14ac:dyDescent="0.3">
      <c r="B58" s="31"/>
      <c r="C58" s="31"/>
      <c r="D58" s="32"/>
      <c r="E58" s="33"/>
      <c r="F58" s="33">
        <f t="shared" si="0"/>
        <v>0</v>
      </c>
      <c r="G58" s="33"/>
    </row>
    <row r="59" spans="2:7" x14ac:dyDescent="0.3">
      <c r="B59" s="15"/>
      <c r="C59" s="21"/>
      <c r="D59" s="22"/>
      <c r="E59" s="23"/>
      <c r="F59" s="23">
        <f t="shared" si="0"/>
        <v>0</v>
      </c>
      <c r="G59" s="13"/>
    </row>
    <row r="60" spans="2:7" x14ac:dyDescent="0.3">
      <c r="B60" s="31"/>
      <c r="C60" s="31"/>
      <c r="D60" s="32"/>
      <c r="E60" s="33"/>
      <c r="F60" s="33">
        <f t="shared" si="0"/>
        <v>0</v>
      </c>
      <c r="G60" s="33"/>
    </row>
    <row r="61" spans="2:7" x14ac:dyDescent="0.3">
      <c r="B61" s="15"/>
      <c r="C61" s="15"/>
      <c r="D61" s="17"/>
      <c r="E61" s="13"/>
      <c r="F61" s="13">
        <f t="shared" si="0"/>
        <v>0</v>
      </c>
      <c r="G61" s="13"/>
    </row>
    <row r="62" spans="2:7" x14ac:dyDescent="0.3">
      <c r="B62" s="31"/>
      <c r="C62" s="31"/>
      <c r="D62" s="32"/>
      <c r="E62" s="33"/>
      <c r="F62" s="33">
        <f t="shared" si="0"/>
        <v>0</v>
      </c>
      <c r="G62" s="33"/>
    </row>
    <row r="63" spans="2:7" x14ac:dyDescent="0.3">
      <c r="B63" s="15"/>
      <c r="C63" s="15"/>
      <c r="D63" s="17"/>
      <c r="E63" s="13"/>
      <c r="F63" s="13">
        <f t="shared" si="0"/>
        <v>0</v>
      </c>
      <c r="G63" s="13"/>
    </row>
    <row r="64" spans="2:7" x14ac:dyDescent="0.3">
      <c r="B64" s="31"/>
      <c r="C64" s="31"/>
      <c r="D64" s="32"/>
      <c r="E64" s="33"/>
      <c r="F64" s="33">
        <f t="shared" si="0"/>
        <v>0</v>
      </c>
      <c r="G64" s="33"/>
    </row>
    <row r="65" spans="2:7" x14ac:dyDescent="0.3">
      <c r="B65" s="15"/>
      <c r="C65" s="21"/>
      <c r="D65" s="22"/>
      <c r="E65" s="23"/>
      <c r="F65" s="23">
        <f t="shared" si="0"/>
        <v>0</v>
      </c>
      <c r="G65" s="13"/>
    </row>
    <row r="66" spans="2:7" x14ac:dyDescent="0.3">
      <c r="B66" s="31"/>
      <c r="C66" s="31"/>
      <c r="D66" s="32"/>
      <c r="E66" s="33"/>
      <c r="F66" s="33">
        <f t="shared" si="0"/>
        <v>0</v>
      </c>
      <c r="G66" s="33"/>
    </row>
    <row r="67" spans="2:7" x14ac:dyDescent="0.3">
      <c r="B67" s="15"/>
      <c r="C67" s="15"/>
      <c r="D67" s="17"/>
      <c r="E67" s="13"/>
      <c r="F67" s="13">
        <f t="shared" si="0"/>
        <v>0</v>
      </c>
      <c r="G67" s="13"/>
    </row>
    <row r="68" spans="2:7" x14ac:dyDescent="0.3">
      <c r="B68" s="31"/>
      <c r="C68" s="31"/>
      <c r="D68" s="32"/>
      <c r="E68" s="33"/>
      <c r="F68" s="33">
        <f t="shared" si="0"/>
        <v>0</v>
      </c>
      <c r="G68" s="33"/>
    </row>
    <row r="69" spans="2:7" x14ac:dyDescent="0.3">
      <c r="B69" s="15"/>
      <c r="C69" s="15"/>
      <c r="D69" s="17"/>
      <c r="E69" s="13"/>
      <c r="F69" s="13">
        <f t="shared" si="0"/>
        <v>0</v>
      </c>
      <c r="G69" s="13"/>
    </row>
    <row r="70" spans="2:7" x14ac:dyDescent="0.3">
      <c r="B70" s="31"/>
      <c r="C70" s="31"/>
      <c r="D70" s="32"/>
      <c r="E70" s="33"/>
      <c r="F70" s="33">
        <f t="shared" si="0"/>
        <v>0</v>
      </c>
      <c r="G70" s="33"/>
    </row>
    <row r="71" spans="2:7" x14ac:dyDescent="0.3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3">
      <c r="B72" s="31"/>
      <c r="C72" s="31"/>
      <c r="D72" s="32"/>
      <c r="E72" s="33"/>
      <c r="F72" s="33">
        <f t="shared" si="1"/>
        <v>0</v>
      </c>
      <c r="G72" s="33"/>
    </row>
    <row r="73" spans="2:7" x14ac:dyDescent="0.3">
      <c r="B73" s="15"/>
      <c r="C73" s="15"/>
      <c r="D73" s="17"/>
      <c r="E73" s="13"/>
      <c r="F73" s="13">
        <f t="shared" si="1"/>
        <v>0</v>
      </c>
      <c r="G73" s="13"/>
    </row>
    <row r="74" spans="2:7" x14ac:dyDescent="0.3">
      <c r="B74" s="31"/>
      <c r="C74" s="31"/>
      <c r="D74" s="32"/>
      <c r="E74" s="33"/>
      <c r="F74" s="33">
        <f t="shared" si="1"/>
        <v>0</v>
      </c>
      <c r="G74" s="33"/>
    </row>
    <row r="75" spans="2:7" x14ac:dyDescent="0.3">
      <c r="B75" s="15"/>
      <c r="C75" s="15"/>
      <c r="D75" s="17"/>
      <c r="E75" s="13"/>
      <c r="F75" s="13">
        <f t="shared" si="1"/>
        <v>0</v>
      </c>
      <c r="G75" s="13"/>
    </row>
    <row r="76" spans="2:7" x14ac:dyDescent="0.3">
      <c r="B76" s="31"/>
      <c r="C76" s="31"/>
      <c r="D76" s="32"/>
      <c r="E76" s="33"/>
      <c r="F76" s="33">
        <f t="shared" si="1"/>
        <v>0</v>
      </c>
      <c r="G76" s="33"/>
    </row>
    <row r="77" spans="2:7" x14ac:dyDescent="0.3">
      <c r="B77" s="15"/>
      <c r="C77" s="21"/>
      <c r="D77" s="22"/>
      <c r="E77" s="23"/>
      <c r="F77" s="23">
        <f t="shared" si="1"/>
        <v>0</v>
      </c>
      <c r="G77" s="13"/>
    </row>
    <row r="78" spans="2:7" x14ac:dyDescent="0.3">
      <c r="B78" s="31"/>
      <c r="C78" s="31"/>
      <c r="D78" s="32"/>
      <c r="E78" s="33"/>
      <c r="F78" s="33">
        <f t="shared" si="1"/>
        <v>0</v>
      </c>
      <c r="G78" s="33"/>
    </row>
    <row r="79" spans="2:7" x14ac:dyDescent="0.3">
      <c r="B79" s="15"/>
      <c r="C79" s="15"/>
      <c r="D79" s="17"/>
      <c r="E79" s="13"/>
      <c r="F79" s="13">
        <f t="shared" si="1"/>
        <v>0</v>
      </c>
      <c r="G79" s="13"/>
    </row>
    <row r="80" spans="2:7" x14ac:dyDescent="0.3">
      <c r="B80" s="31"/>
      <c r="C80" s="31"/>
      <c r="D80" s="32"/>
      <c r="E80" s="33"/>
      <c r="F80" s="33">
        <f t="shared" si="1"/>
        <v>0</v>
      </c>
      <c r="G80" s="33"/>
    </row>
    <row r="81" spans="2:7" x14ac:dyDescent="0.3">
      <c r="B81" s="15"/>
      <c r="C81" s="15"/>
      <c r="D81" s="17"/>
      <c r="E81" s="13"/>
      <c r="F81" s="13">
        <f t="shared" si="1"/>
        <v>0</v>
      </c>
      <c r="G81" s="13"/>
    </row>
    <row r="82" spans="2:7" x14ac:dyDescent="0.3">
      <c r="B82" s="31"/>
      <c r="C82" s="31"/>
      <c r="D82" s="32"/>
      <c r="E82" s="33"/>
      <c r="F82" s="33">
        <f t="shared" si="1"/>
        <v>0</v>
      </c>
      <c r="G82" s="33"/>
    </row>
    <row r="83" spans="2:7" x14ac:dyDescent="0.3">
      <c r="B83" s="15"/>
      <c r="C83" s="21"/>
      <c r="D83" s="22"/>
      <c r="E83" s="23"/>
      <c r="F83" s="23">
        <f t="shared" si="1"/>
        <v>0</v>
      </c>
      <c r="G83" s="13"/>
    </row>
    <row r="84" spans="2:7" x14ac:dyDescent="0.3">
      <c r="B84" s="31"/>
      <c r="C84" s="31"/>
      <c r="D84" s="32"/>
      <c r="E84" s="33"/>
      <c r="F84" s="33">
        <f t="shared" si="1"/>
        <v>0</v>
      </c>
      <c r="G84" s="33"/>
    </row>
    <row r="85" spans="2:7" x14ac:dyDescent="0.3">
      <c r="B85" s="15"/>
      <c r="C85" s="15"/>
      <c r="D85" s="17"/>
      <c r="E85" s="13"/>
      <c r="F85" s="13">
        <f t="shared" si="1"/>
        <v>0</v>
      </c>
      <c r="G85" s="13"/>
    </row>
    <row r="86" spans="2:7" x14ac:dyDescent="0.3">
      <c r="B86" s="31"/>
      <c r="C86" s="31"/>
      <c r="D86" s="32"/>
      <c r="E86" s="33"/>
      <c r="F86" s="33">
        <f t="shared" si="1"/>
        <v>0</v>
      </c>
      <c r="G86" s="33"/>
    </row>
    <row r="87" spans="2:7" x14ac:dyDescent="0.3">
      <c r="B87" s="15"/>
      <c r="C87" s="15"/>
      <c r="D87" s="17"/>
      <c r="E87" s="13"/>
      <c r="F87" s="13">
        <f t="shared" si="1"/>
        <v>0</v>
      </c>
      <c r="G87" s="13"/>
    </row>
    <row r="88" spans="2:7" x14ac:dyDescent="0.3">
      <c r="B88" s="31"/>
      <c r="C88" s="31"/>
      <c r="D88" s="32"/>
      <c r="E88" s="33"/>
      <c r="F88" s="33">
        <f t="shared" si="1"/>
        <v>0</v>
      </c>
      <c r="G88" s="33"/>
    </row>
    <row r="89" spans="2:7" x14ac:dyDescent="0.3">
      <c r="B89" s="15"/>
      <c r="C89" s="21"/>
      <c r="D89" s="22"/>
      <c r="E89" s="23"/>
      <c r="F89" s="23">
        <f t="shared" si="1"/>
        <v>0</v>
      </c>
      <c r="G89" s="13"/>
    </row>
    <row r="90" spans="2:7" x14ac:dyDescent="0.3">
      <c r="B90" s="31"/>
      <c r="C90" s="31"/>
      <c r="D90" s="32"/>
      <c r="E90" s="33"/>
      <c r="F90" s="33">
        <f t="shared" si="1"/>
        <v>0</v>
      </c>
      <c r="G90" s="33"/>
    </row>
    <row r="91" spans="2:7" x14ac:dyDescent="0.3">
      <c r="B91" s="15"/>
      <c r="C91" s="15"/>
      <c r="D91" s="17"/>
      <c r="E91" s="13"/>
      <c r="F91" s="13">
        <f t="shared" si="1"/>
        <v>0</v>
      </c>
      <c r="G91" s="13"/>
    </row>
    <row r="92" spans="2:7" x14ac:dyDescent="0.3">
      <c r="B92" s="31"/>
      <c r="C92" s="31"/>
      <c r="D92" s="32"/>
      <c r="E92" s="33"/>
      <c r="F92" s="33">
        <f t="shared" si="1"/>
        <v>0</v>
      </c>
      <c r="G92" s="33"/>
    </row>
    <row r="93" spans="2:7" x14ac:dyDescent="0.3">
      <c r="B93" s="15"/>
      <c r="C93" s="15"/>
      <c r="D93" s="17"/>
      <c r="E93" s="13"/>
      <c r="F93" s="13">
        <f t="shared" si="1"/>
        <v>0</v>
      </c>
      <c r="G93" s="13"/>
    </row>
    <row r="94" spans="2:7" x14ac:dyDescent="0.3">
      <c r="B94" s="31"/>
      <c r="C94" s="31"/>
      <c r="D94" s="32"/>
      <c r="E94" s="33"/>
      <c r="F94" s="33">
        <f t="shared" si="1"/>
        <v>0</v>
      </c>
      <c r="G94" s="33"/>
    </row>
    <row r="95" spans="2:7" x14ac:dyDescent="0.3">
      <c r="B95" s="15"/>
      <c r="C95" s="21"/>
      <c r="D95" s="22"/>
      <c r="E95" s="23"/>
      <c r="F95" s="23">
        <f t="shared" si="1"/>
        <v>0</v>
      </c>
      <c r="G95" s="13"/>
    </row>
    <row r="96" spans="2:7" x14ac:dyDescent="0.3">
      <c r="B96" s="31"/>
      <c r="C96" s="31"/>
      <c r="D96" s="32"/>
      <c r="E96" s="33"/>
      <c r="F96" s="33">
        <f t="shared" si="1"/>
        <v>0</v>
      </c>
      <c r="G96" s="33"/>
    </row>
    <row r="97" spans="2:7" x14ac:dyDescent="0.3">
      <c r="B97" s="15"/>
      <c r="C97" s="15"/>
      <c r="D97" s="17"/>
      <c r="E97" s="13"/>
      <c r="F97" s="13">
        <f t="shared" si="1"/>
        <v>0</v>
      </c>
      <c r="G97" s="13"/>
    </row>
    <row r="98" spans="2:7" x14ac:dyDescent="0.3">
      <c r="B98" s="31"/>
      <c r="C98" s="31"/>
      <c r="D98" s="32"/>
      <c r="E98" s="33"/>
      <c r="F98" s="33">
        <f t="shared" si="1"/>
        <v>0</v>
      </c>
      <c r="G98" s="33"/>
    </row>
    <row r="99" spans="2:7" x14ac:dyDescent="0.3">
      <c r="B99" s="15"/>
      <c r="C99" s="15"/>
      <c r="D99" s="17"/>
      <c r="E99" s="13"/>
      <c r="F99" s="13">
        <f t="shared" si="1"/>
        <v>0</v>
      </c>
      <c r="G99" s="13"/>
    </row>
    <row r="100" spans="2:7" x14ac:dyDescent="0.3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3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3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3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3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3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3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3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3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3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3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3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3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3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3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3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3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3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3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3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3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3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3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3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3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3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3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3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3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3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3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3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3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3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3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3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3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3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3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3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3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3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3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3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3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3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3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3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3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3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3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3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3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3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3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3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3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3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3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3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3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3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3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3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3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3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3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3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3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3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3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3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3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3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3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3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3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3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3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3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3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3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3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3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3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3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3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3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3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3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3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3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3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3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3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3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3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3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3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3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3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3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3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3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3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3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3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3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3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3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3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3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3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3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3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3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3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3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3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3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3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3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3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3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3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3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3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3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3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3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3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3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3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3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3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3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3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3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3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3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3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3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3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3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3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3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3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3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3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3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3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3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3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3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3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3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3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3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3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3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3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3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3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3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3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3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3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3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3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3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3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3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3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3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3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3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3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3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3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3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3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3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3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3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3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3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3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3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3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3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3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3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3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3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3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3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3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3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3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3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3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3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3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3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3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3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3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3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3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3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3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3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3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3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3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3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3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3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3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3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3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3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3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3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3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3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3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3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3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3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3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3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3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3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3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3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3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3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3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3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3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3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3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3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3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3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3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3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3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3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3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3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3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3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3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3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3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3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3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3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3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3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3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3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3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3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3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3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3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3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3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3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3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3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3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3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3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3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3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3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3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3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3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3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3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3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3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3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3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3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3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3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3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3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3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3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3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3">
      <c r="B397" s="15"/>
      <c r="C397" s="15"/>
      <c r="D397" s="17"/>
      <c r="E397" s="13"/>
      <c r="F397" s="13"/>
      <c r="G397" s="13"/>
    </row>
    <row r="398" spans="2:7" x14ac:dyDescent="0.3">
      <c r="B398" s="31"/>
      <c r="C398" s="31"/>
      <c r="D398" s="32"/>
      <c r="E398" s="33"/>
      <c r="F398" s="33"/>
      <c r="G398" s="33"/>
    </row>
    <row r="401" spans="2:8" x14ac:dyDescent="0.3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3">
      <c r="D403" s="84" t="s">
        <v>53</v>
      </c>
      <c r="E403" s="29">
        <v>0.1</v>
      </c>
    </row>
    <row r="404" spans="2:8" x14ac:dyDescent="0.3">
      <c r="D404" s="36" t="s">
        <v>18</v>
      </c>
      <c r="E404" s="33">
        <v>110</v>
      </c>
    </row>
    <row r="405" spans="2:8" x14ac:dyDescent="0.3">
      <c r="D405" s="24" t="s">
        <v>19</v>
      </c>
      <c r="E405" s="30">
        <v>0.4</v>
      </c>
    </row>
    <row r="406" spans="2:8" x14ac:dyDescent="0.3">
      <c r="D406" s="36" t="s">
        <v>23</v>
      </c>
      <c r="E406" s="34">
        <v>0.2</v>
      </c>
      <c r="G406" s="86"/>
    </row>
    <row r="407" spans="2:8" x14ac:dyDescent="0.3">
      <c r="F407" s="27"/>
    </row>
    <row r="408" spans="2:8" x14ac:dyDescent="0.3">
      <c r="F408" s="27"/>
    </row>
    <row r="409" spans="2:8" x14ac:dyDescent="0.3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3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3">
      <c r="F411" s="27"/>
      <c r="G411" s="88" t="s">
        <v>57</v>
      </c>
      <c r="H411" s="90">
        <v>8.8749999999999996E-2</v>
      </c>
    </row>
    <row r="412" spans="2:8" x14ac:dyDescent="0.3">
      <c r="F412" s="27"/>
    </row>
    <row r="413" spans="2:8" x14ac:dyDescent="0.3">
      <c r="D413" s="37" t="s">
        <v>17</v>
      </c>
      <c r="E413" s="28">
        <f>F401*(1+E403)</f>
        <v>0</v>
      </c>
    </row>
    <row r="414" spans="2:8" x14ac:dyDescent="0.3">
      <c r="D414" s="36" t="s">
        <v>20</v>
      </c>
      <c r="E414" s="35">
        <f>B401*E404</f>
        <v>0</v>
      </c>
    </row>
    <row r="415" spans="2:8" x14ac:dyDescent="0.3">
      <c r="D415" s="37" t="s">
        <v>21</v>
      </c>
      <c r="E415" s="28">
        <f>E414*E405</f>
        <v>0</v>
      </c>
    </row>
    <row r="416" spans="2:8" x14ac:dyDescent="0.3">
      <c r="D416" s="38" t="s">
        <v>22</v>
      </c>
      <c r="E416" s="35">
        <f>E414*E406</f>
        <v>0</v>
      </c>
    </row>
    <row r="417" spans="4:8" x14ac:dyDescent="0.3">
      <c r="D417" s="39" t="s">
        <v>28</v>
      </c>
      <c r="E417" s="40">
        <f>SUM(E413:E416)</f>
        <v>0</v>
      </c>
    </row>
    <row r="420" spans="4:8" x14ac:dyDescent="0.3">
      <c r="D420" s="24" t="s">
        <v>24</v>
      </c>
      <c r="E420" s="44">
        <v>0.4</v>
      </c>
    </row>
    <row r="421" spans="4:8" x14ac:dyDescent="0.3">
      <c r="D421" s="39" t="s">
        <v>25</v>
      </c>
      <c r="E421" s="41">
        <f>E417*(1+E420)</f>
        <v>0</v>
      </c>
    </row>
    <row r="422" spans="4:8" x14ac:dyDescent="0.3">
      <c r="D422" s="26"/>
    </row>
    <row r="424" spans="4:8" x14ac:dyDescent="0.3">
      <c r="D424" s="84" t="s">
        <v>47</v>
      </c>
      <c r="E424" s="13"/>
    </row>
    <row r="425" spans="4:8" x14ac:dyDescent="0.3">
      <c r="D425" s="83" t="s">
        <v>50</v>
      </c>
      <c r="E425" s="33"/>
    </row>
    <row r="426" spans="4:8" x14ac:dyDescent="0.3">
      <c r="D426" s="84" t="s">
        <v>49</v>
      </c>
      <c r="E426" s="44">
        <v>0.25</v>
      </c>
    </row>
    <row r="427" spans="4:8" x14ac:dyDescent="0.3">
      <c r="D427" s="39" t="s">
        <v>51</v>
      </c>
      <c r="E427" s="41">
        <f>(E424+E425)*(1+E426)</f>
        <v>0</v>
      </c>
    </row>
    <row r="430" spans="4:8" x14ac:dyDescent="0.3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3">
      <c r="D431" s="36" t="s">
        <v>26</v>
      </c>
      <c r="E431" s="33">
        <f>G401*(1+E430)</f>
        <v>0</v>
      </c>
      <c r="G431" s="13"/>
      <c r="H431" s="13"/>
    </row>
    <row r="432" spans="4:8" x14ac:dyDescent="0.3">
      <c r="D432" s="24" t="s">
        <v>27</v>
      </c>
      <c r="E432" s="44">
        <v>0.25</v>
      </c>
      <c r="G432" s="33"/>
      <c r="H432" s="33"/>
    </row>
    <row r="433" spans="4:8" x14ac:dyDescent="0.3">
      <c r="D433" s="39" t="s">
        <v>29</v>
      </c>
      <c r="E433" s="41">
        <f>E431*(1+E432)</f>
        <v>0</v>
      </c>
      <c r="G433" s="13"/>
      <c r="H433" s="13"/>
    </row>
    <row r="434" spans="4:8" x14ac:dyDescent="0.3">
      <c r="D434" s="19"/>
      <c r="E434" s="18"/>
      <c r="G434" s="33"/>
      <c r="H434" s="33"/>
    </row>
    <row r="435" spans="4:8" x14ac:dyDescent="0.3">
      <c r="G435" s="13"/>
      <c r="H435" s="13"/>
    </row>
    <row r="436" spans="4:8" x14ac:dyDescent="0.3">
      <c r="D436" s="42" t="s">
        <v>10</v>
      </c>
      <c r="E436" s="43">
        <f>E421+E433+E410+E427</f>
        <v>0</v>
      </c>
    </row>
    <row r="437" spans="4:8" x14ac:dyDescent="0.3">
      <c r="D437" s="82" t="s">
        <v>43</v>
      </c>
      <c r="E437" s="46" t="e">
        <f>(E436-(E431+E417))/E436</f>
        <v>#DIV/0!</v>
      </c>
    </row>
    <row r="438" spans="4:8" x14ac:dyDescent="0.3">
      <c r="D438" s="20"/>
    </row>
    <row r="440" spans="4:8" x14ac:dyDescent="0.3">
      <c r="D440" s="25" t="s">
        <v>30</v>
      </c>
      <c r="E440" s="30">
        <v>0.15</v>
      </c>
    </row>
    <row r="441" spans="4:8" x14ac:dyDescent="0.3">
      <c r="D441" s="81" t="s">
        <v>42</v>
      </c>
      <c r="E441" s="43">
        <f>E436*(1+E440)</f>
        <v>0</v>
      </c>
    </row>
    <row r="442" spans="4:8" x14ac:dyDescent="0.3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FFDF-4B42-4BAE-84BF-829338E6FB0F}">
  <dimension ref="B4:H442"/>
  <sheetViews>
    <sheetView showGridLines="0" topLeftCell="A414" zoomScale="85" zoomScaleNormal="85" workbookViewId="0">
      <selection activeCell="E436" sqref="E436"/>
    </sheetView>
  </sheetViews>
  <sheetFormatPr defaultRowHeight="14.4" x14ac:dyDescent="0.3"/>
  <cols>
    <col min="1" max="1" width="8.44140625" customWidth="1"/>
    <col min="2" max="2" width="12.5546875" style="16" customWidth="1"/>
    <col min="3" max="3" width="11.5546875" style="16" customWidth="1"/>
    <col min="4" max="4" width="107.33203125" customWidth="1"/>
    <col min="5" max="5" width="15.5546875" style="14" customWidth="1"/>
    <col min="6" max="6" width="15.88671875" style="14" customWidth="1"/>
    <col min="7" max="7" width="16.6640625" style="14" customWidth="1"/>
    <col min="8" max="8" width="14.21875" customWidth="1"/>
  </cols>
  <sheetData>
    <row r="4" spans="2:7" x14ac:dyDescent="0.3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3">
      <c r="B5" s="15"/>
      <c r="C5" s="21"/>
      <c r="D5" s="22"/>
      <c r="E5" s="23"/>
      <c r="F5" s="23"/>
      <c r="G5" s="13"/>
    </row>
    <row r="6" spans="2:7" x14ac:dyDescent="0.3">
      <c r="B6" s="31"/>
      <c r="C6" s="31"/>
      <c r="D6" s="32"/>
      <c r="E6" s="33"/>
      <c r="F6" s="33">
        <f>E6*C6</f>
        <v>0</v>
      </c>
      <c r="G6" s="33"/>
    </row>
    <row r="7" spans="2:7" x14ac:dyDescent="0.3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3">
      <c r="B8" s="31"/>
      <c r="C8" s="31"/>
      <c r="D8" s="32"/>
      <c r="E8" s="33"/>
      <c r="F8" s="33">
        <f t="shared" si="0"/>
        <v>0</v>
      </c>
      <c r="G8" s="33"/>
    </row>
    <row r="9" spans="2:7" x14ac:dyDescent="0.3">
      <c r="B9" s="15"/>
      <c r="C9" s="15"/>
      <c r="D9" s="17"/>
      <c r="E9" s="13"/>
      <c r="F9" s="13">
        <f t="shared" si="0"/>
        <v>0</v>
      </c>
      <c r="G9" s="13"/>
    </row>
    <row r="10" spans="2:7" x14ac:dyDescent="0.3">
      <c r="B10" s="31"/>
      <c r="C10" s="31"/>
      <c r="D10" s="32"/>
      <c r="E10" s="33"/>
      <c r="F10" s="33">
        <f t="shared" si="0"/>
        <v>0</v>
      </c>
      <c r="G10" s="33"/>
    </row>
    <row r="11" spans="2:7" x14ac:dyDescent="0.3">
      <c r="B11" s="15"/>
      <c r="C11" s="21"/>
      <c r="D11" s="22"/>
      <c r="E11" s="23"/>
      <c r="F11" s="23">
        <f t="shared" si="0"/>
        <v>0</v>
      </c>
      <c r="G11" s="13"/>
    </row>
    <row r="12" spans="2:7" x14ac:dyDescent="0.3">
      <c r="B12" s="31"/>
      <c r="C12" s="31"/>
      <c r="D12" s="32"/>
      <c r="E12" s="33"/>
      <c r="F12" s="33">
        <f t="shared" si="0"/>
        <v>0</v>
      </c>
      <c r="G12" s="33"/>
    </row>
    <row r="13" spans="2:7" x14ac:dyDescent="0.3">
      <c r="B13" s="15"/>
      <c r="C13" s="15"/>
      <c r="D13" s="17"/>
      <c r="E13" s="13"/>
      <c r="F13" s="13">
        <f t="shared" si="0"/>
        <v>0</v>
      </c>
      <c r="G13" s="13"/>
    </row>
    <row r="14" spans="2:7" x14ac:dyDescent="0.3">
      <c r="B14" s="31"/>
      <c r="C14" s="31"/>
      <c r="D14" s="32"/>
      <c r="E14" s="33"/>
      <c r="F14" s="33">
        <f t="shared" si="0"/>
        <v>0</v>
      </c>
      <c r="G14" s="33"/>
    </row>
    <row r="15" spans="2:7" x14ac:dyDescent="0.3">
      <c r="B15" s="15"/>
      <c r="C15" s="15"/>
      <c r="D15" s="17"/>
      <c r="E15" s="13"/>
      <c r="F15" s="13">
        <f t="shared" si="0"/>
        <v>0</v>
      </c>
      <c r="G15" s="13"/>
    </row>
    <row r="16" spans="2:7" x14ac:dyDescent="0.3">
      <c r="B16" s="31"/>
      <c r="C16" s="31"/>
      <c r="D16" s="32"/>
      <c r="E16" s="33"/>
      <c r="F16" s="33">
        <f t="shared" si="0"/>
        <v>0</v>
      </c>
      <c r="G16" s="33"/>
    </row>
    <row r="17" spans="2:7" x14ac:dyDescent="0.3">
      <c r="B17" s="15"/>
      <c r="C17" s="21"/>
      <c r="D17" s="22"/>
      <c r="E17" s="23"/>
      <c r="F17" s="23">
        <f t="shared" si="0"/>
        <v>0</v>
      </c>
      <c r="G17" s="13"/>
    </row>
    <row r="18" spans="2:7" x14ac:dyDescent="0.3">
      <c r="B18" s="31"/>
      <c r="C18" s="31"/>
      <c r="D18" s="32"/>
      <c r="E18" s="33"/>
      <c r="F18" s="33">
        <f t="shared" si="0"/>
        <v>0</v>
      </c>
      <c r="G18" s="33"/>
    </row>
    <row r="19" spans="2:7" x14ac:dyDescent="0.3">
      <c r="B19" s="15"/>
      <c r="C19" s="15"/>
      <c r="D19" s="17"/>
      <c r="E19" s="13"/>
      <c r="F19" s="13">
        <f t="shared" si="0"/>
        <v>0</v>
      </c>
      <c r="G19" s="13"/>
    </row>
    <row r="20" spans="2:7" x14ac:dyDescent="0.3">
      <c r="B20" s="31"/>
      <c r="C20" s="31"/>
      <c r="D20" s="32"/>
      <c r="E20" s="33"/>
      <c r="F20" s="33">
        <f t="shared" si="0"/>
        <v>0</v>
      </c>
      <c r="G20" s="33"/>
    </row>
    <row r="21" spans="2:7" x14ac:dyDescent="0.3">
      <c r="B21" s="15"/>
      <c r="C21" s="15"/>
      <c r="D21" s="17"/>
      <c r="E21" s="13"/>
      <c r="F21" s="13">
        <f t="shared" si="0"/>
        <v>0</v>
      </c>
      <c r="G21" s="13"/>
    </row>
    <row r="22" spans="2:7" x14ac:dyDescent="0.3">
      <c r="B22" s="31"/>
      <c r="C22" s="31"/>
      <c r="D22" s="32"/>
      <c r="E22" s="33"/>
      <c r="F22" s="33">
        <f t="shared" si="0"/>
        <v>0</v>
      </c>
      <c r="G22" s="33"/>
    </row>
    <row r="23" spans="2:7" x14ac:dyDescent="0.3">
      <c r="B23" s="15"/>
      <c r="C23" s="21"/>
      <c r="D23" s="22"/>
      <c r="E23" s="23"/>
      <c r="F23" s="23">
        <f t="shared" si="0"/>
        <v>0</v>
      </c>
      <c r="G23" s="13"/>
    </row>
    <row r="24" spans="2:7" x14ac:dyDescent="0.3">
      <c r="B24" s="31"/>
      <c r="C24" s="31"/>
      <c r="D24" s="32"/>
      <c r="E24" s="33"/>
      <c r="F24" s="33">
        <f t="shared" si="0"/>
        <v>0</v>
      </c>
      <c r="G24" s="33"/>
    </row>
    <row r="25" spans="2:7" x14ac:dyDescent="0.3">
      <c r="B25" s="15"/>
      <c r="C25" s="15"/>
      <c r="D25" s="17"/>
      <c r="E25" s="13"/>
      <c r="F25" s="13">
        <f t="shared" si="0"/>
        <v>0</v>
      </c>
      <c r="G25" s="13"/>
    </row>
    <row r="26" spans="2:7" x14ac:dyDescent="0.3">
      <c r="B26" s="31"/>
      <c r="C26" s="31"/>
      <c r="D26" s="32"/>
      <c r="E26" s="33"/>
      <c r="F26" s="33">
        <f t="shared" si="0"/>
        <v>0</v>
      </c>
      <c r="G26" s="33"/>
    </row>
    <row r="27" spans="2:7" x14ac:dyDescent="0.3">
      <c r="B27" s="15"/>
      <c r="C27" s="15"/>
      <c r="D27" s="17"/>
      <c r="E27" s="13"/>
      <c r="F27" s="13">
        <f t="shared" si="0"/>
        <v>0</v>
      </c>
      <c r="G27" s="13"/>
    </row>
    <row r="28" spans="2:7" x14ac:dyDescent="0.3">
      <c r="B28" s="31"/>
      <c r="C28" s="31"/>
      <c r="D28" s="32"/>
      <c r="E28" s="33"/>
      <c r="F28" s="33">
        <f t="shared" si="0"/>
        <v>0</v>
      </c>
      <c r="G28" s="33"/>
    </row>
    <row r="29" spans="2:7" x14ac:dyDescent="0.3">
      <c r="B29" s="15"/>
      <c r="C29" s="21"/>
      <c r="D29" s="22"/>
      <c r="E29" s="23"/>
      <c r="F29" s="23">
        <f t="shared" si="0"/>
        <v>0</v>
      </c>
      <c r="G29" s="13"/>
    </row>
    <row r="30" spans="2:7" x14ac:dyDescent="0.3">
      <c r="B30" s="31"/>
      <c r="C30" s="31"/>
      <c r="D30" s="32"/>
      <c r="E30" s="33"/>
      <c r="F30" s="33">
        <f t="shared" si="0"/>
        <v>0</v>
      </c>
      <c r="G30" s="33"/>
    </row>
    <row r="31" spans="2:7" x14ac:dyDescent="0.3">
      <c r="B31" s="15"/>
      <c r="C31" s="15"/>
      <c r="D31" s="17"/>
      <c r="E31" s="13"/>
      <c r="F31" s="13">
        <f t="shared" si="0"/>
        <v>0</v>
      </c>
      <c r="G31" s="13"/>
    </row>
    <row r="32" spans="2:7" x14ac:dyDescent="0.3">
      <c r="B32" s="31"/>
      <c r="C32" s="31"/>
      <c r="D32" s="32"/>
      <c r="E32" s="33"/>
      <c r="F32" s="33">
        <f t="shared" si="0"/>
        <v>0</v>
      </c>
      <c r="G32" s="33"/>
    </row>
    <row r="33" spans="2:7" x14ac:dyDescent="0.3">
      <c r="B33" s="15"/>
      <c r="C33" s="15"/>
      <c r="D33" s="17"/>
      <c r="E33" s="13"/>
      <c r="F33" s="13">
        <f t="shared" si="0"/>
        <v>0</v>
      </c>
      <c r="G33" s="13"/>
    </row>
    <row r="34" spans="2:7" x14ac:dyDescent="0.3">
      <c r="B34" s="31"/>
      <c r="C34" s="31"/>
      <c r="D34" s="32"/>
      <c r="E34" s="33"/>
      <c r="F34" s="33">
        <f t="shared" si="0"/>
        <v>0</v>
      </c>
      <c r="G34" s="33"/>
    </row>
    <row r="35" spans="2:7" x14ac:dyDescent="0.3">
      <c r="B35" s="15"/>
      <c r="C35" s="21"/>
      <c r="D35" s="22"/>
      <c r="E35" s="23"/>
      <c r="F35" s="23">
        <f t="shared" si="0"/>
        <v>0</v>
      </c>
      <c r="G35" s="13"/>
    </row>
    <row r="36" spans="2:7" x14ac:dyDescent="0.3">
      <c r="B36" s="31"/>
      <c r="C36" s="31"/>
      <c r="D36" s="32"/>
      <c r="E36" s="33"/>
      <c r="F36" s="33">
        <f t="shared" si="0"/>
        <v>0</v>
      </c>
      <c r="G36" s="33"/>
    </row>
    <row r="37" spans="2:7" x14ac:dyDescent="0.3">
      <c r="B37" s="15"/>
      <c r="C37" s="15"/>
      <c r="D37" s="17"/>
      <c r="E37" s="13"/>
      <c r="F37" s="13">
        <f t="shared" si="0"/>
        <v>0</v>
      </c>
      <c r="G37" s="13"/>
    </row>
    <row r="38" spans="2:7" x14ac:dyDescent="0.3">
      <c r="B38" s="31"/>
      <c r="C38" s="31"/>
      <c r="D38" s="32"/>
      <c r="E38" s="33"/>
      <c r="F38" s="33">
        <f t="shared" si="0"/>
        <v>0</v>
      </c>
      <c r="G38" s="33"/>
    </row>
    <row r="39" spans="2:7" x14ac:dyDescent="0.3">
      <c r="B39" s="15"/>
      <c r="C39" s="15"/>
      <c r="D39" s="17"/>
      <c r="E39" s="13"/>
      <c r="F39" s="13">
        <f t="shared" si="0"/>
        <v>0</v>
      </c>
      <c r="G39" s="13"/>
    </row>
    <row r="40" spans="2:7" x14ac:dyDescent="0.3">
      <c r="B40" s="31"/>
      <c r="C40" s="31"/>
      <c r="D40" s="32"/>
      <c r="E40" s="33"/>
      <c r="F40" s="33">
        <f t="shared" si="0"/>
        <v>0</v>
      </c>
      <c r="G40" s="33"/>
    </row>
    <row r="41" spans="2:7" x14ac:dyDescent="0.3">
      <c r="B41" s="15"/>
      <c r="C41" s="21"/>
      <c r="D41" s="22"/>
      <c r="E41" s="23"/>
      <c r="F41" s="23">
        <f t="shared" si="0"/>
        <v>0</v>
      </c>
      <c r="G41" s="13"/>
    </row>
    <row r="42" spans="2:7" x14ac:dyDescent="0.3">
      <c r="B42" s="31"/>
      <c r="C42" s="31"/>
      <c r="D42" s="32"/>
      <c r="E42" s="33"/>
      <c r="F42" s="33">
        <f t="shared" si="0"/>
        <v>0</v>
      </c>
      <c r="G42" s="33"/>
    </row>
    <row r="43" spans="2:7" x14ac:dyDescent="0.3">
      <c r="B43" s="15"/>
      <c r="C43" s="15"/>
      <c r="D43" s="17"/>
      <c r="E43" s="13"/>
      <c r="F43" s="13">
        <f t="shared" si="0"/>
        <v>0</v>
      </c>
      <c r="G43" s="13"/>
    </row>
    <row r="44" spans="2:7" x14ac:dyDescent="0.3">
      <c r="B44" s="31"/>
      <c r="C44" s="31"/>
      <c r="D44" s="32"/>
      <c r="E44" s="33"/>
      <c r="F44" s="33">
        <f t="shared" si="0"/>
        <v>0</v>
      </c>
      <c r="G44" s="33"/>
    </row>
    <row r="45" spans="2:7" x14ac:dyDescent="0.3">
      <c r="B45" s="15"/>
      <c r="C45" s="15"/>
      <c r="D45" s="17"/>
      <c r="E45" s="13"/>
      <c r="F45" s="13">
        <f t="shared" si="0"/>
        <v>0</v>
      </c>
      <c r="G45" s="13"/>
    </row>
    <row r="46" spans="2:7" x14ac:dyDescent="0.3">
      <c r="B46" s="31"/>
      <c r="C46" s="31"/>
      <c r="D46" s="32"/>
      <c r="E46" s="33"/>
      <c r="F46" s="33">
        <f t="shared" si="0"/>
        <v>0</v>
      </c>
      <c r="G46" s="33"/>
    </row>
    <row r="47" spans="2:7" x14ac:dyDescent="0.3">
      <c r="B47" s="15"/>
      <c r="C47" s="21"/>
      <c r="D47" s="22"/>
      <c r="E47" s="23"/>
      <c r="F47" s="23">
        <f t="shared" si="0"/>
        <v>0</v>
      </c>
      <c r="G47" s="13"/>
    </row>
    <row r="48" spans="2:7" x14ac:dyDescent="0.3">
      <c r="B48" s="31"/>
      <c r="C48" s="31"/>
      <c r="D48" s="32"/>
      <c r="E48" s="33"/>
      <c r="F48" s="33">
        <f t="shared" si="0"/>
        <v>0</v>
      </c>
      <c r="G48" s="33"/>
    </row>
    <row r="49" spans="2:7" x14ac:dyDescent="0.3">
      <c r="B49" s="15"/>
      <c r="C49" s="15"/>
      <c r="D49" s="17"/>
      <c r="E49" s="13"/>
      <c r="F49" s="13">
        <f t="shared" si="0"/>
        <v>0</v>
      </c>
      <c r="G49" s="13"/>
    </row>
    <row r="50" spans="2:7" x14ac:dyDescent="0.3">
      <c r="B50" s="31"/>
      <c r="C50" s="31"/>
      <c r="D50" s="32"/>
      <c r="E50" s="33"/>
      <c r="F50" s="33">
        <f t="shared" si="0"/>
        <v>0</v>
      </c>
      <c r="G50" s="33"/>
    </row>
    <row r="51" spans="2:7" x14ac:dyDescent="0.3">
      <c r="B51" s="15"/>
      <c r="C51" s="15"/>
      <c r="D51" s="17"/>
      <c r="E51" s="13"/>
      <c r="F51" s="13">
        <f t="shared" si="0"/>
        <v>0</v>
      </c>
      <c r="G51" s="13"/>
    </row>
    <row r="52" spans="2:7" x14ac:dyDescent="0.3">
      <c r="B52" s="31"/>
      <c r="C52" s="31"/>
      <c r="D52" s="32"/>
      <c r="E52" s="33"/>
      <c r="F52" s="33">
        <f t="shared" si="0"/>
        <v>0</v>
      </c>
      <c r="G52" s="33"/>
    </row>
    <row r="53" spans="2:7" x14ac:dyDescent="0.3">
      <c r="B53" s="15"/>
      <c r="C53" s="21"/>
      <c r="D53" s="22"/>
      <c r="E53" s="23"/>
      <c r="F53" s="23">
        <f t="shared" si="0"/>
        <v>0</v>
      </c>
      <c r="G53" s="13"/>
    </row>
    <row r="54" spans="2:7" x14ac:dyDescent="0.3">
      <c r="B54" s="31"/>
      <c r="C54" s="31"/>
      <c r="D54" s="32"/>
      <c r="E54" s="33"/>
      <c r="F54" s="33">
        <f t="shared" si="0"/>
        <v>0</v>
      </c>
      <c r="G54" s="33"/>
    </row>
    <row r="55" spans="2:7" x14ac:dyDescent="0.3">
      <c r="B55" s="15"/>
      <c r="C55" s="15"/>
      <c r="D55" s="17"/>
      <c r="E55" s="13"/>
      <c r="F55" s="13">
        <f t="shared" si="0"/>
        <v>0</v>
      </c>
      <c r="G55" s="13"/>
    </row>
    <row r="56" spans="2:7" x14ac:dyDescent="0.3">
      <c r="B56" s="31"/>
      <c r="C56" s="31"/>
      <c r="D56" s="32"/>
      <c r="E56" s="33"/>
      <c r="F56" s="33">
        <f t="shared" si="0"/>
        <v>0</v>
      </c>
      <c r="G56" s="33"/>
    </row>
    <row r="57" spans="2:7" x14ac:dyDescent="0.3">
      <c r="B57" s="15"/>
      <c r="C57" s="15"/>
      <c r="D57" s="17"/>
      <c r="E57" s="13"/>
      <c r="F57" s="13">
        <f t="shared" si="0"/>
        <v>0</v>
      </c>
      <c r="G57" s="13"/>
    </row>
    <row r="58" spans="2:7" x14ac:dyDescent="0.3">
      <c r="B58" s="31"/>
      <c r="C58" s="31"/>
      <c r="D58" s="32"/>
      <c r="E58" s="33"/>
      <c r="F58" s="33">
        <f t="shared" si="0"/>
        <v>0</v>
      </c>
      <c r="G58" s="33"/>
    </row>
    <row r="59" spans="2:7" x14ac:dyDescent="0.3">
      <c r="B59" s="15"/>
      <c r="C59" s="21"/>
      <c r="D59" s="22"/>
      <c r="E59" s="23"/>
      <c r="F59" s="23">
        <f t="shared" si="0"/>
        <v>0</v>
      </c>
      <c r="G59" s="13"/>
    </row>
    <row r="60" spans="2:7" x14ac:dyDescent="0.3">
      <c r="B60" s="31"/>
      <c r="C60" s="31"/>
      <c r="D60" s="32"/>
      <c r="E60" s="33"/>
      <c r="F60" s="33">
        <f t="shared" si="0"/>
        <v>0</v>
      </c>
      <c r="G60" s="33"/>
    </row>
    <row r="61" spans="2:7" x14ac:dyDescent="0.3">
      <c r="B61" s="15"/>
      <c r="C61" s="15"/>
      <c r="D61" s="17"/>
      <c r="E61" s="13"/>
      <c r="F61" s="13">
        <f t="shared" si="0"/>
        <v>0</v>
      </c>
      <c r="G61" s="13"/>
    </row>
    <row r="62" spans="2:7" x14ac:dyDescent="0.3">
      <c r="B62" s="31"/>
      <c r="C62" s="31"/>
      <c r="D62" s="32"/>
      <c r="E62" s="33"/>
      <c r="F62" s="33">
        <f t="shared" si="0"/>
        <v>0</v>
      </c>
      <c r="G62" s="33"/>
    </row>
    <row r="63" spans="2:7" x14ac:dyDescent="0.3">
      <c r="B63" s="15"/>
      <c r="C63" s="15"/>
      <c r="D63" s="17"/>
      <c r="E63" s="13"/>
      <c r="F63" s="13">
        <f t="shared" si="0"/>
        <v>0</v>
      </c>
      <c r="G63" s="13"/>
    </row>
    <row r="64" spans="2:7" x14ac:dyDescent="0.3">
      <c r="B64" s="31"/>
      <c r="C64" s="31"/>
      <c r="D64" s="32"/>
      <c r="E64" s="33"/>
      <c r="F64" s="33">
        <f t="shared" si="0"/>
        <v>0</v>
      </c>
      <c r="G64" s="33"/>
    </row>
    <row r="65" spans="2:7" x14ac:dyDescent="0.3">
      <c r="B65" s="15"/>
      <c r="C65" s="21"/>
      <c r="D65" s="22"/>
      <c r="E65" s="23"/>
      <c r="F65" s="23">
        <f t="shared" si="0"/>
        <v>0</v>
      </c>
      <c r="G65" s="13"/>
    </row>
    <row r="66" spans="2:7" x14ac:dyDescent="0.3">
      <c r="B66" s="31"/>
      <c r="C66" s="31"/>
      <c r="D66" s="32"/>
      <c r="E66" s="33"/>
      <c r="F66" s="33">
        <f t="shared" si="0"/>
        <v>0</v>
      </c>
      <c r="G66" s="33"/>
    </row>
    <row r="67" spans="2:7" x14ac:dyDescent="0.3">
      <c r="B67" s="15"/>
      <c r="C67" s="15"/>
      <c r="D67" s="17"/>
      <c r="E67" s="13"/>
      <c r="F67" s="13">
        <f t="shared" si="0"/>
        <v>0</v>
      </c>
      <c r="G67" s="13"/>
    </row>
    <row r="68" spans="2:7" x14ac:dyDescent="0.3">
      <c r="B68" s="31"/>
      <c r="C68" s="31"/>
      <c r="D68" s="32"/>
      <c r="E68" s="33"/>
      <c r="F68" s="33">
        <f t="shared" si="0"/>
        <v>0</v>
      </c>
      <c r="G68" s="33"/>
    </row>
    <row r="69" spans="2:7" x14ac:dyDescent="0.3">
      <c r="B69" s="15"/>
      <c r="C69" s="15"/>
      <c r="D69" s="17"/>
      <c r="E69" s="13"/>
      <c r="F69" s="13">
        <f t="shared" si="0"/>
        <v>0</v>
      </c>
      <c r="G69" s="13"/>
    </row>
    <row r="70" spans="2:7" x14ac:dyDescent="0.3">
      <c r="B70" s="31"/>
      <c r="C70" s="31"/>
      <c r="D70" s="32"/>
      <c r="E70" s="33"/>
      <c r="F70" s="33">
        <f t="shared" si="0"/>
        <v>0</v>
      </c>
      <c r="G70" s="33"/>
    </row>
    <row r="71" spans="2:7" x14ac:dyDescent="0.3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3">
      <c r="B72" s="31"/>
      <c r="C72" s="31"/>
      <c r="D72" s="32"/>
      <c r="E72" s="33"/>
      <c r="F72" s="33">
        <f t="shared" si="1"/>
        <v>0</v>
      </c>
      <c r="G72" s="33"/>
    </row>
    <row r="73" spans="2:7" x14ac:dyDescent="0.3">
      <c r="B73" s="15"/>
      <c r="C73" s="15"/>
      <c r="D73" s="17"/>
      <c r="E73" s="13"/>
      <c r="F73" s="13">
        <f t="shared" si="1"/>
        <v>0</v>
      </c>
      <c r="G73" s="13"/>
    </row>
    <row r="74" spans="2:7" x14ac:dyDescent="0.3">
      <c r="B74" s="31"/>
      <c r="C74" s="31"/>
      <c r="D74" s="32"/>
      <c r="E74" s="33"/>
      <c r="F74" s="33">
        <f t="shared" si="1"/>
        <v>0</v>
      </c>
      <c r="G74" s="33"/>
    </row>
    <row r="75" spans="2:7" x14ac:dyDescent="0.3">
      <c r="B75" s="15"/>
      <c r="C75" s="15"/>
      <c r="D75" s="17"/>
      <c r="E75" s="13"/>
      <c r="F75" s="13">
        <f t="shared" si="1"/>
        <v>0</v>
      </c>
      <c r="G75" s="13"/>
    </row>
    <row r="76" spans="2:7" x14ac:dyDescent="0.3">
      <c r="B76" s="31"/>
      <c r="C76" s="31"/>
      <c r="D76" s="32"/>
      <c r="E76" s="33"/>
      <c r="F76" s="33">
        <f t="shared" si="1"/>
        <v>0</v>
      </c>
      <c r="G76" s="33"/>
    </row>
    <row r="77" spans="2:7" x14ac:dyDescent="0.3">
      <c r="B77" s="15"/>
      <c r="C77" s="21"/>
      <c r="D77" s="22"/>
      <c r="E77" s="23"/>
      <c r="F77" s="23">
        <f t="shared" si="1"/>
        <v>0</v>
      </c>
      <c r="G77" s="13"/>
    </row>
    <row r="78" spans="2:7" x14ac:dyDescent="0.3">
      <c r="B78" s="31"/>
      <c r="C78" s="31"/>
      <c r="D78" s="32"/>
      <c r="E78" s="33"/>
      <c r="F78" s="33">
        <f t="shared" si="1"/>
        <v>0</v>
      </c>
      <c r="G78" s="33"/>
    </row>
    <row r="79" spans="2:7" x14ac:dyDescent="0.3">
      <c r="B79" s="15"/>
      <c r="C79" s="15"/>
      <c r="D79" s="17"/>
      <c r="E79" s="13"/>
      <c r="F79" s="13">
        <f t="shared" si="1"/>
        <v>0</v>
      </c>
      <c r="G79" s="13"/>
    </row>
    <row r="80" spans="2:7" x14ac:dyDescent="0.3">
      <c r="B80" s="31"/>
      <c r="C80" s="31"/>
      <c r="D80" s="32"/>
      <c r="E80" s="33"/>
      <c r="F80" s="33">
        <f t="shared" si="1"/>
        <v>0</v>
      </c>
      <c r="G80" s="33"/>
    </row>
    <row r="81" spans="2:7" x14ac:dyDescent="0.3">
      <c r="B81" s="15"/>
      <c r="C81" s="15"/>
      <c r="D81" s="17"/>
      <c r="E81" s="13"/>
      <c r="F81" s="13">
        <f t="shared" si="1"/>
        <v>0</v>
      </c>
      <c r="G81" s="13"/>
    </row>
    <row r="82" spans="2:7" x14ac:dyDescent="0.3">
      <c r="B82" s="31"/>
      <c r="C82" s="31"/>
      <c r="D82" s="32"/>
      <c r="E82" s="33"/>
      <c r="F82" s="33">
        <f t="shared" si="1"/>
        <v>0</v>
      </c>
      <c r="G82" s="33"/>
    </row>
    <row r="83" spans="2:7" x14ac:dyDescent="0.3">
      <c r="B83" s="15"/>
      <c r="C83" s="21"/>
      <c r="D83" s="22"/>
      <c r="E83" s="23"/>
      <c r="F83" s="23">
        <f t="shared" si="1"/>
        <v>0</v>
      </c>
      <c r="G83" s="13"/>
    </row>
    <row r="84" spans="2:7" x14ac:dyDescent="0.3">
      <c r="B84" s="31"/>
      <c r="C84" s="31"/>
      <c r="D84" s="32"/>
      <c r="E84" s="33"/>
      <c r="F84" s="33">
        <f t="shared" si="1"/>
        <v>0</v>
      </c>
      <c r="G84" s="33"/>
    </row>
    <row r="85" spans="2:7" x14ac:dyDescent="0.3">
      <c r="B85" s="15"/>
      <c r="C85" s="15"/>
      <c r="D85" s="17"/>
      <c r="E85" s="13"/>
      <c r="F85" s="13">
        <f t="shared" si="1"/>
        <v>0</v>
      </c>
      <c r="G85" s="13"/>
    </row>
    <row r="86" spans="2:7" x14ac:dyDescent="0.3">
      <c r="B86" s="31"/>
      <c r="C86" s="31"/>
      <c r="D86" s="32"/>
      <c r="E86" s="33"/>
      <c r="F86" s="33">
        <f t="shared" si="1"/>
        <v>0</v>
      </c>
      <c r="G86" s="33"/>
    </row>
    <row r="87" spans="2:7" x14ac:dyDescent="0.3">
      <c r="B87" s="15"/>
      <c r="C87" s="15"/>
      <c r="D87" s="17"/>
      <c r="E87" s="13"/>
      <c r="F87" s="13">
        <f t="shared" si="1"/>
        <v>0</v>
      </c>
      <c r="G87" s="13"/>
    </row>
    <row r="88" spans="2:7" x14ac:dyDescent="0.3">
      <c r="B88" s="31"/>
      <c r="C88" s="31"/>
      <c r="D88" s="32"/>
      <c r="E88" s="33"/>
      <c r="F88" s="33">
        <f t="shared" si="1"/>
        <v>0</v>
      </c>
      <c r="G88" s="33"/>
    </row>
    <row r="89" spans="2:7" x14ac:dyDescent="0.3">
      <c r="B89" s="15"/>
      <c r="C89" s="21"/>
      <c r="D89" s="22"/>
      <c r="E89" s="23"/>
      <c r="F89" s="23">
        <f t="shared" si="1"/>
        <v>0</v>
      </c>
      <c r="G89" s="13"/>
    </row>
    <row r="90" spans="2:7" x14ac:dyDescent="0.3">
      <c r="B90" s="31"/>
      <c r="C90" s="31"/>
      <c r="D90" s="32"/>
      <c r="E90" s="33"/>
      <c r="F90" s="33">
        <f t="shared" si="1"/>
        <v>0</v>
      </c>
      <c r="G90" s="33"/>
    </row>
    <row r="91" spans="2:7" x14ac:dyDescent="0.3">
      <c r="B91" s="15"/>
      <c r="C91" s="15"/>
      <c r="D91" s="17"/>
      <c r="E91" s="13"/>
      <c r="F91" s="13">
        <f t="shared" si="1"/>
        <v>0</v>
      </c>
      <c r="G91" s="13"/>
    </row>
    <row r="92" spans="2:7" x14ac:dyDescent="0.3">
      <c r="B92" s="31"/>
      <c r="C92" s="31"/>
      <c r="D92" s="32"/>
      <c r="E92" s="33"/>
      <c r="F92" s="33">
        <f t="shared" si="1"/>
        <v>0</v>
      </c>
      <c r="G92" s="33"/>
    </row>
    <row r="93" spans="2:7" x14ac:dyDescent="0.3">
      <c r="B93" s="15"/>
      <c r="C93" s="15"/>
      <c r="D93" s="17"/>
      <c r="E93" s="13"/>
      <c r="F93" s="13">
        <f t="shared" si="1"/>
        <v>0</v>
      </c>
      <c r="G93" s="13"/>
    </row>
    <row r="94" spans="2:7" x14ac:dyDescent="0.3">
      <c r="B94" s="31"/>
      <c r="C94" s="31"/>
      <c r="D94" s="32"/>
      <c r="E94" s="33"/>
      <c r="F94" s="33">
        <f t="shared" si="1"/>
        <v>0</v>
      </c>
      <c r="G94" s="33"/>
    </row>
    <row r="95" spans="2:7" x14ac:dyDescent="0.3">
      <c r="B95" s="15"/>
      <c r="C95" s="21"/>
      <c r="D95" s="22"/>
      <c r="E95" s="23"/>
      <c r="F95" s="23">
        <f t="shared" si="1"/>
        <v>0</v>
      </c>
      <c r="G95" s="13"/>
    </row>
    <row r="96" spans="2:7" x14ac:dyDescent="0.3">
      <c r="B96" s="31"/>
      <c r="C96" s="31"/>
      <c r="D96" s="32"/>
      <c r="E96" s="33"/>
      <c r="F96" s="33">
        <f t="shared" si="1"/>
        <v>0</v>
      </c>
      <c r="G96" s="33"/>
    </row>
    <row r="97" spans="2:7" x14ac:dyDescent="0.3">
      <c r="B97" s="15"/>
      <c r="C97" s="15"/>
      <c r="D97" s="17"/>
      <c r="E97" s="13"/>
      <c r="F97" s="13">
        <f t="shared" si="1"/>
        <v>0</v>
      </c>
      <c r="G97" s="13"/>
    </row>
    <row r="98" spans="2:7" x14ac:dyDescent="0.3">
      <c r="B98" s="31"/>
      <c r="C98" s="31"/>
      <c r="D98" s="32"/>
      <c r="E98" s="33"/>
      <c r="F98" s="33">
        <f t="shared" si="1"/>
        <v>0</v>
      </c>
      <c r="G98" s="33"/>
    </row>
    <row r="99" spans="2:7" x14ac:dyDescent="0.3">
      <c r="B99" s="15"/>
      <c r="C99" s="15"/>
      <c r="D99" s="17"/>
      <c r="E99" s="13"/>
      <c r="F99" s="13">
        <f t="shared" si="1"/>
        <v>0</v>
      </c>
      <c r="G99" s="13"/>
    </row>
    <row r="100" spans="2:7" x14ac:dyDescent="0.3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3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3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3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3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3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3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3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3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3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3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3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3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3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3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3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3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3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3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3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3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3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3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3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3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3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3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3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3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3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3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3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3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3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3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3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3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3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3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3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3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3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3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3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3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3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3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3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3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3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3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3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3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3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3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3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3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3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3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3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3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3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3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3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3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3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3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3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3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3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3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3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3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3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3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3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3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3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3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3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3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3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3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3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3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3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3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3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3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3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3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3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3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3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3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3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3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3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3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3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3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3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3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3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3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3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3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3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3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3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3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3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3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3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3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3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3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3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3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3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3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3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3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3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3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3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3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3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3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3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3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3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3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3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3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3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3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3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3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3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3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3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3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3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3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3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3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3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3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3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3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3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3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3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3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3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3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3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3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3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3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3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3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3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3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3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3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3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3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3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3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3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3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3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3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3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3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3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3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3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3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3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3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3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3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3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3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3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3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3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3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3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3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3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3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3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3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3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3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3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3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3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3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3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3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3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3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3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3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3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3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3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3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3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3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3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3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3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3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3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3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3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3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3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3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3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3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3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3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3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3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3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3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3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3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3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3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3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3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3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3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3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3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3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3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3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3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3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3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3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3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3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3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3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3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3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3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3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3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3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3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3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3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3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3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3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3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3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3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3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3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3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3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3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3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3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3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3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3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3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3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3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3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3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3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3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3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3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3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3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3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3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3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3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3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3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3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3">
      <c r="B397" s="15"/>
      <c r="C397" s="15"/>
      <c r="D397" s="17"/>
      <c r="E397" s="13"/>
      <c r="F397" s="13"/>
      <c r="G397" s="13"/>
    </row>
    <row r="398" spans="2:7" x14ac:dyDescent="0.3">
      <c r="B398" s="31"/>
      <c r="C398" s="31"/>
      <c r="D398" s="32"/>
      <c r="E398" s="33"/>
      <c r="F398" s="33"/>
      <c r="G398" s="33"/>
    </row>
    <row r="401" spans="2:8" x14ac:dyDescent="0.3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3">
      <c r="D403" s="84" t="s">
        <v>53</v>
      </c>
      <c r="E403" s="29">
        <v>0.1</v>
      </c>
    </row>
    <row r="404" spans="2:8" x14ac:dyDescent="0.3">
      <c r="D404" s="36" t="s">
        <v>18</v>
      </c>
      <c r="E404" s="33">
        <v>110</v>
      </c>
    </row>
    <row r="405" spans="2:8" x14ac:dyDescent="0.3">
      <c r="D405" s="24" t="s">
        <v>19</v>
      </c>
      <c r="E405" s="30">
        <v>0.4</v>
      </c>
    </row>
    <row r="406" spans="2:8" x14ac:dyDescent="0.3">
      <c r="D406" s="36" t="s">
        <v>23</v>
      </c>
      <c r="E406" s="34">
        <v>0.2</v>
      </c>
      <c r="G406" s="86"/>
    </row>
    <row r="407" spans="2:8" x14ac:dyDescent="0.3">
      <c r="F407" s="27"/>
    </row>
    <row r="408" spans="2:8" x14ac:dyDescent="0.3">
      <c r="F408" s="27"/>
    </row>
    <row r="409" spans="2:8" x14ac:dyDescent="0.3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3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3">
      <c r="F411" s="27"/>
      <c r="G411" s="88" t="s">
        <v>57</v>
      </c>
      <c r="H411" s="90">
        <v>8.8749999999999996E-2</v>
      </c>
    </row>
    <row r="412" spans="2:8" x14ac:dyDescent="0.3">
      <c r="F412" s="27"/>
    </row>
    <row r="413" spans="2:8" x14ac:dyDescent="0.3">
      <c r="D413" s="37" t="s">
        <v>17</v>
      </c>
      <c r="E413" s="28">
        <f>F401*(1+E403)</f>
        <v>0</v>
      </c>
    </row>
    <row r="414" spans="2:8" x14ac:dyDescent="0.3">
      <c r="D414" s="36" t="s">
        <v>20</v>
      </c>
      <c r="E414" s="35">
        <f>B401*E404</f>
        <v>0</v>
      </c>
    </row>
    <row r="415" spans="2:8" x14ac:dyDescent="0.3">
      <c r="D415" s="37" t="s">
        <v>21</v>
      </c>
      <c r="E415" s="28">
        <f>E414*E405</f>
        <v>0</v>
      </c>
    </row>
    <row r="416" spans="2:8" x14ac:dyDescent="0.3">
      <c r="D416" s="38" t="s">
        <v>22</v>
      </c>
      <c r="E416" s="35">
        <f>E414*E406</f>
        <v>0</v>
      </c>
    </row>
    <row r="417" spans="4:8" x14ac:dyDescent="0.3">
      <c r="D417" s="39" t="s">
        <v>28</v>
      </c>
      <c r="E417" s="40">
        <f>SUM(E413:E416)</f>
        <v>0</v>
      </c>
    </row>
    <row r="420" spans="4:8" x14ac:dyDescent="0.3">
      <c r="D420" s="24" t="s">
        <v>24</v>
      </c>
      <c r="E420" s="44">
        <v>0.4</v>
      </c>
    </row>
    <row r="421" spans="4:8" x14ac:dyDescent="0.3">
      <c r="D421" s="39" t="s">
        <v>25</v>
      </c>
      <c r="E421" s="41">
        <f>E417*(1+E420)</f>
        <v>0</v>
      </c>
    </row>
    <row r="422" spans="4:8" x14ac:dyDescent="0.3">
      <c r="D422" s="26"/>
    </row>
    <row r="424" spans="4:8" x14ac:dyDescent="0.3">
      <c r="D424" s="84" t="s">
        <v>47</v>
      </c>
      <c r="E424" s="13"/>
    </row>
    <row r="425" spans="4:8" x14ac:dyDescent="0.3">
      <c r="D425" s="83" t="s">
        <v>50</v>
      </c>
      <c r="E425" s="33"/>
    </row>
    <row r="426" spans="4:8" x14ac:dyDescent="0.3">
      <c r="D426" s="84" t="s">
        <v>49</v>
      </c>
      <c r="E426" s="44">
        <v>0.25</v>
      </c>
    </row>
    <row r="427" spans="4:8" x14ac:dyDescent="0.3">
      <c r="D427" s="39" t="s">
        <v>51</v>
      </c>
      <c r="E427" s="41">
        <f>(E424+E425)*(1+E426)</f>
        <v>0</v>
      </c>
    </row>
    <row r="430" spans="4:8" x14ac:dyDescent="0.3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3">
      <c r="D431" s="36" t="s">
        <v>26</v>
      </c>
      <c r="E431" s="33">
        <f>G401*(1+E430)</f>
        <v>0</v>
      </c>
      <c r="G431" s="13"/>
      <c r="H431" s="13"/>
    </row>
    <row r="432" spans="4:8" x14ac:dyDescent="0.3">
      <c r="D432" s="24" t="s">
        <v>27</v>
      </c>
      <c r="E432" s="44">
        <v>0.25</v>
      </c>
      <c r="G432" s="33"/>
      <c r="H432" s="33"/>
    </row>
    <row r="433" spans="4:8" x14ac:dyDescent="0.3">
      <c r="D433" s="39" t="s">
        <v>29</v>
      </c>
      <c r="E433" s="41">
        <f>E431*(1+E432)</f>
        <v>0</v>
      </c>
      <c r="G433" s="13"/>
      <c r="H433" s="13"/>
    </row>
    <row r="434" spans="4:8" x14ac:dyDescent="0.3">
      <c r="D434" s="19"/>
      <c r="E434" s="18"/>
      <c r="G434" s="33"/>
      <c r="H434" s="33"/>
    </row>
    <row r="435" spans="4:8" x14ac:dyDescent="0.3">
      <c r="G435" s="13"/>
      <c r="H435" s="13"/>
    </row>
    <row r="436" spans="4:8" x14ac:dyDescent="0.3">
      <c r="D436" s="42" t="s">
        <v>10</v>
      </c>
      <c r="E436" s="43">
        <f>E421+E433+E410+E427</f>
        <v>0</v>
      </c>
    </row>
    <row r="437" spans="4:8" x14ac:dyDescent="0.3">
      <c r="D437" s="82" t="s">
        <v>43</v>
      </c>
      <c r="E437" s="46" t="e">
        <f>(E436-(E431+E417))/E436</f>
        <v>#DIV/0!</v>
      </c>
    </row>
    <row r="438" spans="4:8" x14ac:dyDescent="0.3">
      <c r="D438" s="20"/>
    </row>
    <row r="440" spans="4:8" x14ac:dyDescent="0.3">
      <c r="D440" s="25" t="s">
        <v>30</v>
      </c>
      <c r="E440" s="30">
        <v>0.15</v>
      </c>
    </row>
    <row r="441" spans="4:8" x14ac:dyDescent="0.3">
      <c r="D441" s="81" t="s">
        <v>42</v>
      </c>
      <c r="E441" s="43">
        <f>E436*(1+E440)</f>
        <v>0</v>
      </c>
    </row>
    <row r="442" spans="4:8" x14ac:dyDescent="0.3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31C3-381D-4EBC-A81A-E0B51D79890E}">
  <dimension ref="B4:H442"/>
  <sheetViews>
    <sheetView showGridLines="0" topLeftCell="A402" zoomScale="85" zoomScaleNormal="85" workbookViewId="0">
      <selection activeCell="G440" sqref="G440"/>
    </sheetView>
  </sheetViews>
  <sheetFormatPr defaultRowHeight="14.4" x14ac:dyDescent="0.3"/>
  <cols>
    <col min="1" max="1" width="8.44140625" customWidth="1"/>
    <col min="2" max="2" width="12.5546875" style="16" customWidth="1"/>
    <col min="3" max="3" width="11.5546875" style="16" customWidth="1"/>
    <col min="4" max="4" width="107.33203125" customWidth="1"/>
    <col min="5" max="5" width="15.5546875" style="14" customWidth="1"/>
    <col min="6" max="6" width="15.88671875" style="14" customWidth="1"/>
    <col min="7" max="7" width="16.6640625" style="14" customWidth="1"/>
    <col min="8" max="8" width="14.21875" customWidth="1"/>
  </cols>
  <sheetData>
    <row r="4" spans="2:7" x14ac:dyDescent="0.3">
      <c r="B4" s="47" t="s">
        <v>11</v>
      </c>
      <c r="C4" s="47" t="s">
        <v>12</v>
      </c>
      <c r="D4" s="47" t="s">
        <v>13</v>
      </c>
      <c r="E4" s="48" t="s">
        <v>14</v>
      </c>
      <c r="F4" s="48" t="s">
        <v>15</v>
      </c>
      <c r="G4" s="48" t="s">
        <v>16</v>
      </c>
    </row>
    <row r="5" spans="2:7" x14ac:dyDescent="0.3">
      <c r="B5" s="15"/>
      <c r="C5" s="21"/>
      <c r="D5" s="22"/>
      <c r="E5" s="23"/>
      <c r="F5" s="23"/>
      <c r="G5" s="13"/>
    </row>
    <row r="6" spans="2:7" x14ac:dyDescent="0.3">
      <c r="B6" s="31"/>
      <c r="C6" s="31"/>
      <c r="D6" s="32"/>
      <c r="E6" s="33"/>
      <c r="F6" s="33">
        <f>E6*C6</f>
        <v>0</v>
      </c>
      <c r="G6" s="33"/>
    </row>
    <row r="7" spans="2:7" x14ac:dyDescent="0.3">
      <c r="B7" s="15"/>
      <c r="C7" s="15"/>
      <c r="D7" s="17"/>
      <c r="E7" s="13"/>
      <c r="F7" s="13">
        <f t="shared" ref="F7:F70" si="0">E7*C7</f>
        <v>0</v>
      </c>
      <c r="G7" s="13"/>
    </row>
    <row r="8" spans="2:7" x14ac:dyDescent="0.3">
      <c r="B8" s="31"/>
      <c r="C8" s="31"/>
      <c r="D8" s="32"/>
      <c r="E8" s="33"/>
      <c r="F8" s="33">
        <f t="shared" si="0"/>
        <v>0</v>
      </c>
      <c r="G8" s="33"/>
    </row>
    <row r="9" spans="2:7" x14ac:dyDescent="0.3">
      <c r="B9" s="15"/>
      <c r="C9" s="15"/>
      <c r="D9" s="17"/>
      <c r="E9" s="13"/>
      <c r="F9" s="13">
        <f t="shared" si="0"/>
        <v>0</v>
      </c>
      <c r="G9" s="13"/>
    </row>
    <row r="10" spans="2:7" x14ac:dyDescent="0.3">
      <c r="B10" s="31"/>
      <c r="C10" s="31"/>
      <c r="D10" s="32"/>
      <c r="E10" s="33"/>
      <c r="F10" s="33">
        <f t="shared" si="0"/>
        <v>0</v>
      </c>
      <c r="G10" s="33"/>
    </row>
    <row r="11" spans="2:7" x14ac:dyDescent="0.3">
      <c r="B11" s="15"/>
      <c r="C11" s="21"/>
      <c r="D11" s="22"/>
      <c r="E11" s="23"/>
      <c r="F11" s="23">
        <f t="shared" si="0"/>
        <v>0</v>
      </c>
      <c r="G11" s="13"/>
    </row>
    <row r="12" spans="2:7" x14ac:dyDescent="0.3">
      <c r="B12" s="31"/>
      <c r="C12" s="31"/>
      <c r="D12" s="32"/>
      <c r="E12" s="33"/>
      <c r="F12" s="33">
        <f t="shared" si="0"/>
        <v>0</v>
      </c>
      <c r="G12" s="33"/>
    </row>
    <row r="13" spans="2:7" x14ac:dyDescent="0.3">
      <c r="B13" s="15"/>
      <c r="C13" s="15"/>
      <c r="D13" s="17"/>
      <c r="E13" s="13"/>
      <c r="F13" s="13">
        <f t="shared" si="0"/>
        <v>0</v>
      </c>
      <c r="G13" s="13"/>
    </row>
    <row r="14" spans="2:7" x14ac:dyDescent="0.3">
      <c r="B14" s="31"/>
      <c r="C14" s="31"/>
      <c r="D14" s="32"/>
      <c r="E14" s="33"/>
      <c r="F14" s="33">
        <f t="shared" si="0"/>
        <v>0</v>
      </c>
      <c r="G14" s="33"/>
    </row>
    <row r="15" spans="2:7" x14ac:dyDescent="0.3">
      <c r="B15" s="15"/>
      <c r="C15" s="15"/>
      <c r="D15" s="17"/>
      <c r="E15" s="13"/>
      <c r="F15" s="13">
        <f t="shared" si="0"/>
        <v>0</v>
      </c>
      <c r="G15" s="13"/>
    </row>
    <row r="16" spans="2:7" x14ac:dyDescent="0.3">
      <c r="B16" s="31"/>
      <c r="C16" s="31"/>
      <c r="D16" s="32"/>
      <c r="E16" s="33"/>
      <c r="F16" s="33">
        <f t="shared" si="0"/>
        <v>0</v>
      </c>
      <c r="G16" s="33"/>
    </row>
    <row r="17" spans="2:7" x14ac:dyDescent="0.3">
      <c r="B17" s="15"/>
      <c r="C17" s="21"/>
      <c r="D17" s="22"/>
      <c r="E17" s="23"/>
      <c r="F17" s="23">
        <f t="shared" si="0"/>
        <v>0</v>
      </c>
      <c r="G17" s="13"/>
    </row>
    <row r="18" spans="2:7" x14ac:dyDescent="0.3">
      <c r="B18" s="31"/>
      <c r="C18" s="31"/>
      <c r="D18" s="32"/>
      <c r="E18" s="33"/>
      <c r="F18" s="33">
        <f t="shared" si="0"/>
        <v>0</v>
      </c>
      <c r="G18" s="33"/>
    </row>
    <row r="19" spans="2:7" x14ac:dyDescent="0.3">
      <c r="B19" s="15"/>
      <c r="C19" s="15"/>
      <c r="D19" s="17"/>
      <c r="E19" s="13"/>
      <c r="F19" s="13">
        <f t="shared" si="0"/>
        <v>0</v>
      </c>
      <c r="G19" s="13"/>
    </row>
    <row r="20" spans="2:7" x14ac:dyDescent="0.3">
      <c r="B20" s="31"/>
      <c r="C20" s="31"/>
      <c r="D20" s="32"/>
      <c r="E20" s="33"/>
      <c r="F20" s="33">
        <f t="shared" si="0"/>
        <v>0</v>
      </c>
      <c r="G20" s="33"/>
    </row>
    <row r="21" spans="2:7" x14ac:dyDescent="0.3">
      <c r="B21" s="15"/>
      <c r="C21" s="15"/>
      <c r="D21" s="17"/>
      <c r="E21" s="13"/>
      <c r="F21" s="13">
        <f t="shared" si="0"/>
        <v>0</v>
      </c>
      <c r="G21" s="13"/>
    </row>
    <row r="22" spans="2:7" x14ac:dyDescent="0.3">
      <c r="B22" s="31"/>
      <c r="C22" s="31"/>
      <c r="D22" s="32"/>
      <c r="E22" s="33"/>
      <c r="F22" s="33">
        <f t="shared" si="0"/>
        <v>0</v>
      </c>
      <c r="G22" s="33"/>
    </row>
    <row r="23" spans="2:7" x14ac:dyDescent="0.3">
      <c r="B23" s="15"/>
      <c r="C23" s="21"/>
      <c r="D23" s="22"/>
      <c r="E23" s="23"/>
      <c r="F23" s="23">
        <f t="shared" si="0"/>
        <v>0</v>
      </c>
      <c r="G23" s="13"/>
    </row>
    <row r="24" spans="2:7" x14ac:dyDescent="0.3">
      <c r="B24" s="31"/>
      <c r="C24" s="31"/>
      <c r="D24" s="32"/>
      <c r="E24" s="33"/>
      <c r="F24" s="33">
        <f t="shared" si="0"/>
        <v>0</v>
      </c>
      <c r="G24" s="33"/>
    </row>
    <row r="25" spans="2:7" x14ac:dyDescent="0.3">
      <c r="B25" s="15"/>
      <c r="C25" s="15"/>
      <c r="D25" s="17"/>
      <c r="E25" s="13"/>
      <c r="F25" s="13">
        <f t="shared" si="0"/>
        <v>0</v>
      </c>
      <c r="G25" s="13"/>
    </row>
    <row r="26" spans="2:7" x14ac:dyDescent="0.3">
      <c r="B26" s="31"/>
      <c r="C26" s="31"/>
      <c r="D26" s="32"/>
      <c r="E26" s="33"/>
      <c r="F26" s="33">
        <f t="shared" si="0"/>
        <v>0</v>
      </c>
      <c r="G26" s="33"/>
    </row>
    <row r="27" spans="2:7" x14ac:dyDescent="0.3">
      <c r="B27" s="15"/>
      <c r="C27" s="15"/>
      <c r="D27" s="17"/>
      <c r="E27" s="13"/>
      <c r="F27" s="13">
        <f t="shared" si="0"/>
        <v>0</v>
      </c>
      <c r="G27" s="13"/>
    </row>
    <row r="28" spans="2:7" x14ac:dyDescent="0.3">
      <c r="B28" s="31"/>
      <c r="C28" s="31"/>
      <c r="D28" s="32"/>
      <c r="E28" s="33"/>
      <c r="F28" s="33">
        <f t="shared" si="0"/>
        <v>0</v>
      </c>
      <c r="G28" s="33"/>
    </row>
    <row r="29" spans="2:7" x14ac:dyDescent="0.3">
      <c r="B29" s="15"/>
      <c r="C29" s="21"/>
      <c r="D29" s="22"/>
      <c r="E29" s="23"/>
      <c r="F29" s="23">
        <f t="shared" si="0"/>
        <v>0</v>
      </c>
      <c r="G29" s="13"/>
    </row>
    <row r="30" spans="2:7" x14ac:dyDescent="0.3">
      <c r="B30" s="31"/>
      <c r="C30" s="31"/>
      <c r="D30" s="32"/>
      <c r="E30" s="33"/>
      <c r="F30" s="33">
        <f t="shared" si="0"/>
        <v>0</v>
      </c>
      <c r="G30" s="33"/>
    </row>
    <row r="31" spans="2:7" x14ac:dyDescent="0.3">
      <c r="B31" s="15"/>
      <c r="C31" s="15"/>
      <c r="D31" s="17"/>
      <c r="E31" s="13"/>
      <c r="F31" s="13">
        <f t="shared" si="0"/>
        <v>0</v>
      </c>
      <c r="G31" s="13"/>
    </row>
    <row r="32" spans="2:7" x14ac:dyDescent="0.3">
      <c r="B32" s="31"/>
      <c r="C32" s="31"/>
      <c r="D32" s="32"/>
      <c r="E32" s="33"/>
      <c r="F32" s="33">
        <f t="shared" si="0"/>
        <v>0</v>
      </c>
      <c r="G32" s="33"/>
    </row>
    <row r="33" spans="2:7" x14ac:dyDescent="0.3">
      <c r="B33" s="15"/>
      <c r="C33" s="15"/>
      <c r="D33" s="17"/>
      <c r="E33" s="13"/>
      <c r="F33" s="13">
        <f t="shared" si="0"/>
        <v>0</v>
      </c>
      <c r="G33" s="13"/>
    </row>
    <row r="34" spans="2:7" x14ac:dyDescent="0.3">
      <c r="B34" s="31"/>
      <c r="C34" s="31"/>
      <c r="D34" s="32"/>
      <c r="E34" s="33"/>
      <c r="F34" s="33">
        <f t="shared" si="0"/>
        <v>0</v>
      </c>
      <c r="G34" s="33"/>
    </row>
    <row r="35" spans="2:7" x14ac:dyDescent="0.3">
      <c r="B35" s="15"/>
      <c r="C35" s="21"/>
      <c r="D35" s="22"/>
      <c r="E35" s="23"/>
      <c r="F35" s="23">
        <f t="shared" si="0"/>
        <v>0</v>
      </c>
      <c r="G35" s="13"/>
    </row>
    <row r="36" spans="2:7" x14ac:dyDescent="0.3">
      <c r="B36" s="31"/>
      <c r="C36" s="31"/>
      <c r="D36" s="32"/>
      <c r="E36" s="33"/>
      <c r="F36" s="33">
        <f t="shared" si="0"/>
        <v>0</v>
      </c>
      <c r="G36" s="33"/>
    </row>
    <row r="37" spans="2:7" x14ac:dyDescent="0.3">
      <c r="B37" s="15"/>
      <c r="C37" s="15"/>
      <c r="D37" s="17"/>
      <c r="E37" s="13"/>
      <c r="F37" s="13">
        <f t="shared" si="0"/>
        <v>0</v>
      </c>
      <c r="G37" s="13"/>
    </row>
    <row r="38" spans="2:7" x14ac:dyDescent="0.3">
      <c r="B38" s="31"/>
      <c r="C38" s="31"/>
      <c r="D38" s="32"/>
      <c r="E38" s="33"/>
      <c r="F38" s="33">
        <f t="shared" si="0"/>
        <v>0</v>
      </c>
      <c r="G38" s="33"/>
    </row>
    <row r="39" spans="2:7" x14ac:dyDescent="0.3">
      <c r="B39" s="15"/>
      <c r="C39" s="15"/>
      <c r="D39" s="17"/>
      <c r="E39" s="13"/>
      <c r="F39" s="13">
        <f t="shared" si="0"/>
        <v>0</v>
      </c>
      <c r="G39" s="13"/>
    </row>
    <row r="40" spans="2:7" x14ac:dyDescent="0.3">
      <c r="B40" s="31"/>
      <c r="C40" s="31"/>
      <c r="D40" s="32"/>
      <c r="E40" s="33"/>
      <c r="F40" s="33">
        <f t="shared" si="0"/>
        <v>0</v>
      </c>
      <c r="G40" s="33"/>
    </row>
    <row r="41" spans="2:7" x14ac:dyDescent="0.3">
      <c r="B41" s="15"/>
      <c r="C41" s="21"/>
      <c r="D41" s="22"/>
      <c r="E41" s="23"/>
      <c r="F41" s="23">
        <f t="shared" si="0"/>
        <v>0</v>
      </c>
      <c r="G41" s="13"/>
    </row>
    <row r="42" spans="2:7" x14ac:dyDescent="0.3">
      <c r="B42" s="31"/>
      <c r="C42" s="31"/>
      <c r="D42" s="32"/>
      <c r="E42" s="33"/>
      <c r="F42" s="33">
        <f t="shared" si="0"/>
        <v>0</v>
      </c>
      <c r="G42" s="33"/>
    </row>
    <row r="43" spans="2:7" x14ac:dyDescent="0.3">
      <c r="B43" s="15"/>
      <c r="C43" s="15"/>
      <c r="D43" s="17"/>
      <c r="E43" s="13"/>
      <c r="F43" s="13">
        <f t="shared" si="0"/>
        <v>0</v>
      </c>
      <c r="G43" s="13"/>
    </row>
    <row r="44" spans="2:7" x14ac:dyDescent="0.3">
      <c r="B44" s="31"/>
      <c r="C44" s="31"/>
      <c r="D44" s="32"/>
      <c r="E44" s="33"/>
      <c r="F44" s="33">
        <f t="shared" si="0"/>
        <v>0</v>
      </c>
      <c r="G44" s="33"/>
    </row>
    <row r="45" spans="2:7" x14ac:dyDescent="0.3">
      <c r="B45" s="15"/>
      <c r="C45" s="15"/>
      <c r="D45" s="17"/>
      <c r="E45" s="13"/>
      <c r="F45" s="13">
        <f t="shared" si="0"/>
        <v>0</v>
      </c>
      <c r="G45" s="13"/>
    </row>
    <row r="46" spans="2:7" x14ac:dyDescent="0.3">
      <c r="B46" s="31"/>
      <c r="C46" s="31"/>
      <c r="D46" s="32"/>
      <c r="E46" s="33"/>
      <c r="F46" s="33">
        <f t="shared" si="0"/>
        <v>0</v>
      </c>
      <c r="G46" s="33"/>
    </row>
    <row r="47" spans="2:7" x14ac:dyDescent="0.3">
      <c r="B47" s="15"/>
      <c r="C47" s="21"/>
      <c r="D47" s="22"/>
      <c r="E47" s="23"/>
      <c r="F47" s="23">
        <f t="shared" si="0"/>
        <v>0</v>
      </c>
      <c r="G47" s="13"/>
    </row>
    <row r="48" spans="2:7" x14ac:dyDescent="0.3">
      <c r="B48" s="31"/>
      <c r="C48" s="31"/>
      <c r="D48" s="32"/>
      <c r="E48" s="33"/>
      <c r="F48" s="33">
        <f t="shared" si="0"/>
        <v>0</v>
      </c>
      <c r="G48" s="33"/>
    </row>
    <row r="49" spans="2:7" x14ac:dyDescent="0.3">
      <c r="B49" s="15"/>
      <c r="C49" s="15"/>
      <c r="D49" s="17"/>
      <c r="E49" s="13"/>
      <c r="F49" s="13">
        <f t="shared" si="0"/>
        <v>0</v>
      </c>
      <c r="G49" s="13"/>
    </row>
    <row r="50" spans="2:7" x14ac:dyDescent="0.3">
      <c r="B50" s="31"/>
      <c r="C50" s="31"/>
      <c r="D50" s="32"/>
      <c r="E50" s="33"/>
      <c r="F50" s="33">
        <f t="shared" si="0"/>
        <v>0</v>
      </c>
      <c r="G50" s="33"/>
    </row>
    <row r="51" spans="2:7" x14ac:dyDescent="0.3">
      <c r="B51" s="15"/>
      <c r="C51" s="15"/>
      <c r="D51" s="17"/>
      <c r="E51" s="13"/>
      <c r="F51" s="13">
        <f t="shared" si="0"/>
        <v>0</v>
      </c>
      <c r="G51" s="13"/>
    </row>
    <row r="52" spans="2:7" x14ac:dyDescent="0.3">
      <c r="B52" s="31"/>
      <c r="C52" s="31"/>
      <c r="D52" s="32"/>
      <c r="E52" s="33"/>
      <c r="F52" s="33">
        <f t="shared" si="0"/>
        <v>0</v>
      </c>
      <c r="G52" s="33"/>
    </row>
    <row r="53" spans="2:7" x14ac:dyDescent="0.3">
      <c r="B53" s="15"/>
      <c r="C53" s="21"/>
      <c r="D53" s="22"/>
      <c r="E53" s="23"/>
      <c r="F53" s="23">
        <f t="shared" si="0"/>
        <v>0</v>
      </c>
      <c r="G53" s="13"/>
    </row>
    <row r="54" spans="2:7" x14ac:dyDescent="0.3">
      <c r="B54" s="31"/>
      <c r="C54" s="31"/>
      <c r="D54" s="32"/>
      <c r="E54" s="33"/>
      <c r="F54" s="33">
        <f t="shared" si="0"/>
        <v>0</v>
      </c>
      <c r="G54" s="33"/>
    </row>
    <row r="55" spans="2:7" x14ac:dyDescent="0.3">
      <c r="B55" s="15"/>
      <c r="C55" s="15"/>
      <c r="D55" s="17"/>
      <c r="E55" s="13"/>
      <c r="F55" s="13">
        <f t="shared" si="0"/>
        <v>0</v>
      </c>
      <c r="G55" s="13"/>
    </row>
    <row r="56" spans="2:7" x14ac:dyDescent="0.3">
      <c r="B56" s="31"/>
      <c r="C56" s="31"/>
      <c r="D56" s="32"/>
      <c r="E56" s="33"/>
      <c r="F56" s="33">
        <f t="shared" si="0"/>
        <v>0</v>
      </c>
      <c r="G56" s="33"/>
    </row>
    <row r="57" spans="2:7" x14ac:dyDescent="0.3">
      <c r="B57" s="15"/>
      <c r="C57" s="15"/>
      <c r="D57" s="17"/>
      <c r="E57" s="13"/>
      <c r="F57" s="13">
        <f t="shared" si="0"/>
        <v>0</v>
      </c>
      <c r="G57" s="13"/>
    </row>
    <row r="58" spans="2:7" x14ac:dyDescent="0.3">
      <c r="B58" s="31"/>
      <c r="C58" s="31"/>
      <c r="D58" s="32"/>
      <c r="E58" s="33"/>
      <c r="F58" s="33">
        <f t="shared" si="0"/>
        <v>0</v>
      </c>
      <c r="G58" s="33"/>
    </row>
    <row r="59" spans="2:7" x14ac:dyDescent="0.3">
      <c r="B59" s="15"/>
      <c r="C59" s="21"/>
      <c r="D59" s="22"/>
      <c r="E59" s="23"/>
      <c r="F59" s="23">
        <f t="shared" si="0"/>
        <v>0</v>
      </c>
      <c r="G59" s="13"/>
    </row>
    <row r="60" spans="2:7" x14ac:dyDescent="0.3">
      <c r="B60" s="31"/>
      <c r="C60" s="31"/>
      <c r="D60" s="32"/>
      <c r="E60" s="33"/>
      <c r="F60" s="33">
        <f t="shared" si="0"/>
        <v>0</v>
      </c>
      <c r="G60" s="33"/>
    </row>
    <row r="61" spans="2:7" x14ac:dyDescent="0.3">
      <c r="B61" s="15"/>
      <c r="C61" s="15"/>
      <c r="D61" s="17"/>
      <c r="E61" s="13"/>
      <c r="F61" s="13">
        <f t="shared" si="0"/>
        <v>0</v>
      </c>
      <c r="G61" s="13"/>
    </row>
    <row r="62" spans="2:7" x14ac:dyDescent="0.3">
      <c r="B62" s="31"/>
      <c r="C62" s="31"/>
      <c r="D62" s="32"/>
      <c r="E62" s="33"/>
      <c r="F62" s="33">
        <f t="shared" si="0"/>
        <v>0</v>
      </c>
      <c r="G62" s="33"/>
    </row>
    <row r="63" spans="2:7" x14ac:dyDescent="0.3">
      <c r="B63" s="15"/>
      <c r="C63" s="15"/>
      <c r="D63" s="17"/>
      <c r="E63" s="13"/>
      <c r="F63" s="13">
        <f t="shared" si="0"/>
        <v>0</v>
      </c>
      <c r="G63" s="13"/>
    </row>
    <row r="64" spans="2:7" x14ac:dyDescent="0.3">
      <c r="B64" s="31"/>
      <c r="C64" s="31"/>
      <c r="D64" s="32"/>
      <c r="E64" s="33"/>
      <c r="F64" s="33">
        <f t="shared" si="0"/>
        <v>0</v>
      </c>
      <c r="G64" s="33"/>
    </row>
    <row r="65" spans="2:7" x14ac:dyDescent="0.3">
      <c r="B65" s="15"/>
      <c r="C65" s="21"/>
      <c r="D65" s="22"/>
      <c r="E65" s="23"/>
      <c r="F65" s="23">
        <f t="shared" si="0"/>
        <v>0</v>
      </c>
      <c r="G65" s="13"/>
    </row>
    <row r="66" spans="2:7" x14ac:dyDescent="0.3">
      <c r="B66" s="31"/>
      <c r="C66" s="31"/>
      <c r="D66" s="32"/>
      <c r="E66" s="33"/>
      <c r="F66" s="33">
        <f t="shared" si="0"/>
        <v>0</v>
      </c>
      <c r="G66" s="33"/>
    </row>
    <row r="67" spans="2:7" x14ac:dyDescent="0.3">
      <c r="B67" s="15"/>
      <c r="C67" s="15"/>
      <c r="D67" s="17"/>
      <c r="E67" s="13"/>
      <c r="F67" s="13">
        <f t="shared" si="0"/>
        <v>0</v>
      </c>
      <c r="G67" s="13"/>
    </row>
    <row r="68" spans="2:7" x14ac:dyDescent="0.3">
      <c r="B68" s="31"/>
      <c r="C68" s="31"/>
      <c r="D68" s="32"/>
      <c r="E68" s="33"/>
      <c r="F68" s="33">
        <f t="shared" si="0"/>
        <v>0</v>
      </c>
      <c r="G68" s="33"/>
    </row>
    <row r="69" spans="2:7" x14ac:dyDescent="0.3">
      <c r="B69" s="15"/>
      <c r="C69" s="15"/>
      <c r="D69" s="17"/>
      <c r="E69" s="13"/>
      <c r="F69" s="13">
        <f t="shared" si="0"/>
        <v>0</v>
      </c>
      <c r="G69" s="13"/>
    </row>
    <row r="70" spans="2:7" x14ac:dyDescent="0.3">
      <c r="B70" s="31"/>
      <c r="C70" s="31"/>
      <c r="D70" s="32"/>
      <c r="E70" s="33"/>
      <c r="F70" s="33">
        <f t="shared" si="0"/>
        <v>0</v>
      </c>
      <c r="G70" s="33"/>
    </row>
    <row r="71" spans="2:7" x14ac:dyDescent="0.3">
      <c r="B71" s="15"/>
      <c r="C71" s="21"/>
      <c r="D71" s="22"/>
      <c r="E71" s="23"/>
      <c r="F71" s="23">
        <f t="shared" ref="F71:F134" si="1">E71*C71</f>
        <v>0</v>
      </c>
      <c r="G71" s="13"/>
    </row>
    <row r="72" spans="2:7" x14ac:dyDescent="0.3">
      <c r="B72" s="31"/>
      <c r="C72" s="31"/>
      <c r="D72" s="32"/>
      <c r="E72" s="33"/>
      <c r="F72" s="33">
        <f t="shared" si="1"/>
        <v>0</v>
      </c>
      <c r="G72" s="33"/>
    </row>
    <row r="73" spans="2:7" x14ac:dyDescent="0.3">
      <c r="B73" s="15"/>
      <c r="C73" s="15"/>
      <c r="D73" s="17"/>
      <c r="E73" s="13"/>
      <c r="F73" s="13">
        <f t="shared" si="1"/>
        <v>0</v>
      </c>
      <c r="G73" s="13"/>
    </row>
    <row r="74" spans="2:7" x14ac:dyDescent="0.3">
      <c r="B74" s="31"/>
      <c r="C74" s="31"/>
      <c r="D74" s="32"/>
      <c r="E74" s="33"/>
      <c r="F74" s="33">
        <f t="shared" si="1"/>
        <v>0</v>
      </c>
      <c r="G74" s="33"/>
    </row>
    <row r="75" spans="2:7" x14ac:dyDescent="0.3">
      <c r="B75" s="15"/>
      <c r="C75" s="15"/>
      <c r="D75" s="17"/>
      <c r="E75" s="13"/>
      <c r="F75" s="13">
        <f t="shared" si="1"/>
        <v>0</v>
      </c>
      <c r="G75" s="13"/>
    </row>
    <row r="76" spans="2:7" x14ac:dyDescent="0.3">
      <c r="B76" s="31"/>
      <c r="C76" s="31"/>
      <c r="D76" s="32"/>
      <c r="E76" s="33"/>
      <c r="F76" s="33">
        <f t="shared" si="1"/>
        <v>0</v>
      </c>
      <c r="G76" s="33"/>
    </row>
    <row r="77" spans="2:7" x14ac:dyDescent="0.3">
      <c r="B77" s="15"/>
      <c r="C77" s="21"/>
      <c r="D77" s="22"/>
      <c r="E77" s="23"/>
      <c r="F77" s="23">
        <f t="shared" si="1"/>
        <v>0</v>
      </c>
      <c r="G77" s="13"/>
    </row>
    <row r="78" spans="2:7" x14ac:dyDescent="0.3">
      <c r="B78" s="31"/>
      <c r="C78" s="31"/>
      <c r="D78" s="32"/>
      <c r="E78" s="33"/>
      <c r="F78" s="33">
        <f t="shared" si="1"/>
        <v>0</v>
      </c>
      <c r="G78" s="33"/>
    </row>
    <row r="79" spans="2:7" x14ac:dyDescent="0.3">
      <c r="B79" s="15"/>
      <c r="C79" s="15"/>
      <c r="D79" s="17"/>
      <c r="E79" s="13"/>
      <c r="F79" s="13">
        <f t="shared" si="1"/>
        <v>0</v>
      </c>
      <c r="G79" s="13"/>
    </row>
    <row r="80" spans="2:7" x14ac:dyDescent="0.3">
      <c r="B80" s="31"/>
      <c r="C80" s="31"/>
      <c r="D80" s="32"/>
      <c r="E80" s="33"/>
      <c r="F80" s="33">
        <f t="shared" si="1"/>
        <v>0</v>
      </c>
      <c r="G80" s="33"/>
    </row>
    <row r="81" spans="2:7" x14ac:dyDescent="0.3">
      <c r="B81" s="15"/>
      <c r="C81" s="15"/>
      <c r="D81" s="17"/>
      <c r="E81" s="13"/>
      <c r="F81" s="13">
        <f t="shared" si="1"/>
        <v>0</v>
      </c>
      <c r="G81" s="13"/>
    </row>
    <row r="82" spans="2:7" x14ac:dyDescent="0.3">
      <c r="B82" s="31"/>
      <c r="C82" s="31"/>
      <c r="D82" s="32"/>
      <c r="E82" s="33"/>
      <c r="F82" s="33">
        <f t="shared" si="1"/>
        <v>0</v>
      </c>
      <c r="G82" s="33"/>
    </row>
    <row r="83" spans="2:7" x14ac:dyDescent="0.3">
      <c r="B83" s="15"/>
      <c r="C83" s="21"/>
      <c r="D83" s="22"/>
      <c r="E83" s="23"/>
      <c r="F83" s="23">
        <f t="shared" si="1"/>
        <v>0</v>
      </c>
      <c r="G83" s="13"/>
    </row>
    <row r="84" spans="2:7" x14ac:dyDescent="0.3">
      <c r="B84" s="31"/>
      <c r="C84" s="31"/>
      <c r="D84" s="32"/>
      <c r="E84" s="33"/>
      <c r="F84" s="33">
        <f t="shared" si="1"/>
        <v>0</v>
      </c>
      <c r="G84" s="33"/>
    </row>
    <row r="85" spans="2:7" x14ac:dyDescent="0.3">
      <c r="B85" s="15"/>
      <c r="C85" s="15"/>
      <c r="D85" s="17"/>
      <c r="E85" s="13"/>
      <c r="F85" s="13">
        <f t="shared" si="1"/>
        <v>0</v>
      </c>
      <c r="G85" s="13"/>
    </row>
    <row r="86" spans="2:7" x14ac:dyDescent="0.3">
      <c r="B86" s="31"/>
      <c r="C86" s="31"/>
      <c r="D86" s="32"/>
      <c r="E86" s="33"/>
      <c r="F86" s="33">
        <f t="shared" si="1"/>
        <v>0</v>
      </c>
      <c r="G86" s="33"/>
    </row>
    <row r="87" spans="2:7" x14ac:dyDescent="0.3">
      <c r="B87" s="15"/>
      <c r="C87" s="15"/>
      <c r="D87" s="17"/>
      <c r="E87" s="13"/>
      <c r="F87" s="13">
        <f t="shared" si="1"/>
        <v>0</v>
      </c>
      <c r="G87" s="13"/>
    </row>
    <row r="88" spans="2:7" x14ac:dyDescent="0.3">
      <c r="B88" s="31"/>
      <c r="C88" s="31"/>
      <c r="D88" s="32"/>
      <c r="E88" s="33"/>
      <c r="F88" s="33">
        <f t="shared" si="1"/>
        <v>0</v>
      </c>
      <c r="G88" s="33"/>
    </row>
    <row r="89" spans="2:7" x14ac:dyDescent="0.3">
      <c r="B89" s="15"/>
      <c r="C89" s="21"/>
      <c r="D89" s="22"/>
      <c r="E89" s="23"/>
      <c r="F89" s="23">
        <f t="shared" si="1"/>
        <v>0</v>
      </c>
      <c r="G89" s="13"/>
    </row>
    <row r="90" spans="2:7" x14ac:dyDescent="0.3">
      <c r="B90" s="31"/>
      <c r="C90" s="31"/>
      <c r="D90" s="32"/>
      <c r="E90" s="33"/>
      <c r="F90" s="33">
        <f t="shared" si="1"/>
        <v>0</v>
      </c>
      <c r="G90" s="33"/>
    </row>
    <row r="91" spans="2:7" x14ac:dyDescent="0.3">
      <c r="B91" s="15"/>
      <c r="C91" s="15"/>
      <c r="D91" s="17"/>
      <c r="E91" s="13"/>
      <c r="F91" s="13">
        <f t="shared" si="1"/>
        <v>0</v>
      </c>
      <c r="G91" s="13"/>
    </row>
    <row r="92" spans="2:7" x14ac:dyDescent="0.3">
      <c r="B92" s="31"/>
      <c r="C92" s="31"/>
      <c r="D92" s="32"/>
      <c r="E92" s="33"/>
      <c r="F92" s="33">
        <f t="shared" si="1"/>
        <v>0</v>
      </c>
      <c r="G92" s="33"/>
    </row>
    <row r="93" spans="2:7" x14ac:dyDescent="0.3">
      <c r="B93" s="15"/>
      <c r="C93" s="15"/>
      <c r="D93" s="17"/>
      <c r="E93" s="13"/>
      <c r="F93" s="13">
        <f t="shared" si="1"/>
        <v>0</v>
      </c>
      <c r="G93" s="13"/>
    </row>
    <row r="94" spans="2:7" x14ac:dyDescent="0.3">
      <c r="B94" s="31"/>
      <c r="C94" s="31"/>
      <c r="D94" s="32"/>
      <c r="E94" s="33"/>
      <c r="F94" s="33">
        <f t="shared" si="1"/>
        <v>0</v>
      </c>
      <c r="G94" s="33"/>
    </row>
    <row r="95" spans="2:7" x14ac:dyDescent="0.3">
      <c r="B95" s="15"/>
      <c r="C95" s="21"/>
      <c r="D95" s="22"/>
      <c r="E95" s="23"/>
      <c r="F95" s="23">
        <f t="shared" si="1"/>
        <v>0</v>
      </c>
      <c r="G95" s="13"/>
    </row>
    <row r="96" spans="2:7" x14ac:dyDescent="0.3">
      <c r="B96" s="31"/>
      <c r="C96" s="31"/>
      <c r="D96" s="32"/>
      <c r="E96" s="33"/>
      <c r="F96" s="33">
        <f t="shared" si="1"/>
        <v>0</v>
      </c>
      <c r="G96" s="33"/>
    </row>
    <row r="97" spans="2:7" x14ac:dyDescent="0.3">
      <c r="B97" s="15"/>
      <c r="C97" s="15"/>
      <c r="D97" s="17"/>
      <c r="E97" s="13"/>
      <c r="F97" s="13">
        <f t="shared" si="1"/>
        <v>0</v>
      </c>
      <c r="G97" s="13"/>
    </row>
    <row r="98" spans="2:7" x14ac:dyDescent="0.3">
      <c r="B98" s="31"/>
      <c r="C98" s="31"/>
      <c r="D98" s="32"/>
      <c r="E98" s="33"/>
      <c r="F98" s="33">
        <f t="shared" si="1"/>
        <v>0</v>
      </c>
      <c r="G98" s="33"/>
    </row>
    <row r="99" spans="2:7" x14ac:dyDescent="0.3">
      <c r="B99" s="15"/>
      <c r="C99" s="15"/>
      <c r="D99" s="17"/>
      <c r="E99" s="13"/>
      <c r="F99" s="13">
        <f t="shared" si="1"/>
        <v>0</v>
      </c>
      <c r="G99" s="13"/>
    </row>
    <row r="100" spans="2:7" x14ac:dyDescent="0.3">
      <c r="B100" s="31"/>
      <c r="C100" s="31"/>
      <c r="D100" s="32"/>
      <c r="E100" s="33"/>
      <c r="F100" s="33">
        <f t="shared" si="1"/>
        <v>0</v>
      </c>
      <c r="G100" s="33"/>
    </row>
    <row r="101" spans="2:7" x14ac:dyDescent="0.3">
      <c r="B101" s="15"/>
      <c r="C101" s="21"/>
      <c r="D101" s="22"/>
      <c r="E101" s="23"/>
      <c r="F101" s="23">
        <f t="shared" si="1"/>
        <v>0</v>
      </c>
      <c r="G101" s="13"/>
    </row>
    <row r="102" spans="2:7" x14ac:dyDescent="0.3">
      <c r="B102" s="31"/>
      <c r="C102" s="31"/>
      <c r="D102" s="32"/>
      <c r="E102" s="33"/>
      <c r="F102" s="33">
        <f t="shared" si="1"/>
        <v>0</v>
      </c>
      <c r="G102" s="33"/>
    </row>
    <row r="103" spans="2:7" x14ac:dyDescent="0.3">
      <c r="B103" s="15"/>
      <c r="C103" s="15"/>
      <c r="D103" s="17"/>
      <c r="E103" s="13"/>
      <c r="F103" s="13">
        <f t="shared" si="1"/>
        <v>0</v>
      </c>
      <c r="G103" s="13"/>
    </row>
    <row r="104" spans="2:7" x14ac:dyDescent="0.3">
      <c r="B104" s="31"/>
      <c r="C104" s="31"/>
      <c r="D104" s="32"/>
      <c r="E104" s="33"/>
      <c r="F104" s="33">
        <f t="shared" si="1"/>
        <v>0</v>
      </c>
      <c r="G104" s="33"/>
    </row>
    <row r="105" spans="2:7" x14ac:dyDescent="0.3">
      <c r="B105" s="15"/>
      <c r="C105" s="15"/>
      <c r="D105" s="17"/>
      <c r="E105" s="13"/>
      <c r="F105" s="13">
        <f t="shared" si="1"/>
        <v>0</v>
      </c>
      <c r="G105" s="13"/>
    </row>
    <row r="106" spans="2:7" x14ac:dyDescent="0.3">
      <c r="B106" s="31"/>
      <c r="C106" s="31"/>
      <c r="D106" s="32"/>
      <c r="E106" s="33"/>
      <c r="F106" s="33">
        <f t="shared" si="1"/>
        <v>0</v>
      </c>
      <c r="G106" s="33"/>
    </row>
    <row r="107" spans="2:7" x14ac:dyDescent="0.3">
      <c r="B107" s="15"/>
      <c r="C107" s="21"/>
      <c r="D107" s="22"/>
      <c r="E107" s="23"/>
      <c r="F107" s="23">
        <f t="shared" si="1"/>
        <v>0</v>
      </c>
      <c r="G107" s="13"/>
    </row>
    <row r="108" spans="2:7" x14ac:dyDescent="0.3">
      <c r="B108" s="31"/>
      <c r="C108" s="31"/>
      <c r="D108" s="32"/>
      <c r="E108" s="33"/>
      <c r="F108" s="33">
        <f t="shared" si="1"/>
        <v>0</v>
      </c>
      <c r="G108" s="33"/>
    </row>
    <row r="109" spans="2:7" x14ac:dyDescent="0.3">
      <c r="B109" s="15"/>
      <c r="C109" s="15"/>
      <c r="D109" s="17"/>
      <c r="E109" s="13"/>
      <c r="F109" s="13">
        <f t="shared" si="1"/>
        <v>0</v>
      </c>
      <c r="G109" s="13"/>
    </row>
    <row r="110" spans="2:7" x14ac:dyDescent="0.3">
      <c r="B110" s="31"/>
      <c r="C110" s="31"/>
      <c r="D110" s="32"/>
      <c r="E110" s="33"/>
      <c r="F110" s="33">
        <f t="shared" si="1"/>
        <v>0</v>
      </c>
      <c r="G110" s="33"/>
    </row>
    <row r="111" spans="2:7" x14ac:dyDescent="0.3">
      <c r="B111" s="15"/>
      <c r="C111" s="15"/>
      <c r="D111" s="17"/>
      <c r="E111" s="13"/>
      <c r="F111" s="13">
        <f t="shared" si="1"/>
        <v>0</v>
      </c>
      <c r="G111" s="13"/>
    </row>
    <row r="112" spans="2:7" x14ac:dyDescent="0.3">
      <c r="B112" s="31"/>
      <c r="C112" s="31"/>
      <c r="D112" s="32"/>
      <c r="E112" s="33"/>
      <c r="F112" s="33">
        <f t="shared" si="1"/>
        <v>0</v>
      </c>
      <c r="G112" s="33"/>
    </row>
    <row r="113" spans="2:7" x14ac:dyDescent="0.3">
      <c r="B113" s="15"/>
      <c r="C113" s="21"/>
      <c r="D113" s="22"/>
      <c r="E113" s="23"/>
      <c r="F113" s="23">
        <f t="shared" si="1"/>
        <v>0</v>
      </c>
      <c r="G113" s="13"/>
    </row>
    <row r="114" spans="2:7" x14ac:dyDescent="0.3">
      <c r="B114" s="31"/>
      <c r="C114" s="31"/>
      <c r="D114" s="32"/>
      <c r="E114" s="33"/>
      <c r="F114" s="33">
        <f t="shared" si="1"/>
        <v>0</v>
      </c>
      <c r="G114" s="33"/>
    </row>
    <row r="115" spans="2:7" x14ac:dyDescent="0.3">
      <c r="B115" s="15"/>
      <c r="C115" s="15"/>
      <c r="D115" s="17"/>
      <c r="E115" s="13"/>
      <c r="F115" s="13">
        <f t="shared" si="1"/>
        <v>0</v>
      </c>
      <c r="G115" s="13"/>
    </row>
    <row r="116" spans="2:7" x14ac:dyDescent="0.3">
      <c r="B116" s="31"/>
      <c r="C116" s="31"/>
      <c r="D116" s="32"/>
      <c r="E116" s="33"/>
      <c r="F116" s="33">
        <f t="shared" si="1"/>
        <v>0</v>
      </c>
      <c r="G116" s="33"/>
    </row>
    <row r="117" spans="2:7" x14ac:dyDescent="0.3">
      <c r="B117" s="15"/>
      <c r="C117" s="15"/>
      <c r="D117" s="17"/>
      <c r="E117" s="13"/>
      <c r="F117" s="13">
        <f t="shared" si="1"/>
        <v>0</v>
      </c>
      <c r="G117" s="13"/>
    </row>
    <row r="118" spans="2:7" x14ac:dyDescent="0.3">
      <c r="B118" s="31"/>
      <c r="C118" s="31"/>
      <c r="D118" s="32"/>
      <c r="E118" s="33"/>
      <c r="F118" s="33">
        <f t="shared" si="1"/>
        <v>0</v>
      </c>
      <c r="G118" s="33"/>
    </row>
    <row r="119" spans="2:7" x14ac:dyDescent="0.3">
      <c r="B119" s="15"/>
      <c r="C119" s="21"/>
      <c r="D119" s="22"/>
      <c r="E119" s="23"/>
      <c r="F119" s="23">
        <f t="shared" si="1"/>
        <v>0</v>
      </c>
      <c r="G119" s="13"/>
    </row>
    <row r="120" spans="2:7" x14ac:dyDescent="0.3">
      <c r="B120" s="31"/>
      <c r="C120" s="31"/>
      <c r="D120" s="32"/>
      <c r="E120" s="33"/>
      <c r="F120" s="33">
        <f t="shared" si="1"/>
        <v>0</v>
      </c>
      <c r="G120" s="33"/>
    </row>
    <row r="121" spans="2:7" x14ac:dyDescent="0.3">
      <c r="B121" s="15"/>
      <c r="C121" s="15"/>
      <c r="D121" s="17"/>
      <c r="E121" s="13"/>
      <c r="F121" s="13">
        <f t="shared" si="1"/>
        <v>0</v>
      </c>
      <c r="G121" s="13"/>
    </row>
    <row r="122" spans="2:7" x14ac:dyDescent="0.3">
      <c r="B122" s="31"/>
      <c r="C122" s="31"/>
      <c r="D122" s="32"/>
      <c r="E122" s="33"/>
      <c r="F122" s="33">
        <f t="shared" si="1"/>
        <v>0</v>
      </c>
      <c r="G122" s="33"/>
    </row>
    <row r="123" spans="2:7" x14ac:dyDescent="0.3">
      <c r="B123" s="15"/>
      <c r="C123" s="15"/>
      <c r="D123" s="17"/>
      <c r="E123" s="13"/>
      <c r="F123" s="13">
        <f t="shared" si="1"/>
        <v>0</v>
      </c>
      <c r="G123" s="13"/>
    </row>
    <row r="124" spans="2:7" x14ac:dyDescent="0.3">
      <c r="B124" s="31"/>
      <c r="C124" s="31"/>
      <c r="D124" s="32"/>
      <c r="E124" s="33"/>
      <c r="F124" s="33">
        <f t="shared" si="1"/>
        <v>0</v>
      </c>
      <c r="G124" s="33"/>
    </row>
    <row r="125" spans="2:7" x14ac:dyDescent="0.3">
      <c r="B125" s="15"/>
      <c r="C125" s="21"/>
      <c r="D125" s="22"/>
      <c r="E125" s="23"/>
      <c r="F125" s="23">
        <f t="shared" si="1"/>
        <v>0</v>
      </c>
      <c r="G125" s="13"/>
    </row>
    <row r="126" spans="2:7" x14ac:dyDescent="0.3">
      <c r="B126" s="31"/>
      <c r="C126" s="31"/>
      <c r="D126" s="32"/>
      <c r="E126" s="33"/>
      <c r="F126" s="33">
        <f t="shared" si="1"/>
        <v>0</v>
      </c>
      <c r="G126" s="33"/>
    </row>
    <row r="127" spans="2:7" x14ac:dyDescent="0.3">
      <c r="B127" s="15"/>
      <c r="C127" s="15"/>
      <c r="D127" s="17"/>
      <c r="E127" s="13"/>
      <c r="F127" s="13">
        <f t="shared" si="1"/>
        <v>0</v>
      </c>
      <c r="G127" s="13"/>
    </row>
    <row r="128" spans="2:7" x14ac:dyDescent="0.3">
      <c r="B128" s="31"/>
      <c r="C128" s="31"/>
      <c r="D128" s="32"/>
      <c r="E128" s="33"/>
      <c r="F128" s="33">
        <f t="shared" si="1"/>
        <v>0</v>
      </c>
      <c r="G128" s="33"/>
    </row>
    <row r="129" spans="2:7" x14ac:dyDescent="0.3">
      <c r="B129" s="15"/>
      <c r="C129" s="15"/>
      <c r="D129" s="17"/>
      <c r="E129" s="13"/>
      <c r="F129" s="13">
        <f t="shared" si="1"/>
        <v>0</v>
      </c>
      <c r="G129" s="13"/>
    </row>
    <row r="130" spans="2:7" x14ac:dyDescent="0.3">
      <c r="B130" s="31"/>
      <c r="C130" s="31"/>
      <c r="D130" s="32"/>
      <c r="E130" s="33"/>
      <c r="F130" s="33">
        <f t="shared" si="1"/>
        <v>0</v>
      </c>
      <c r="G130" s="33"/>
    </row>
    <row r="131" spans="2:7" x14ac:dyDescent="0.3">
      <c r="B131" s="15"/>
      <c r="C131" s="21"/>
      <c r="D131" s="22"/>
      <c r="E131" s="23"/>
      <c r="F131" s="23">
        <f t="shared" si="1"/>
        <v>0</v>
      </c>
      <c r="G131" s="13"/>
    </row>
    <row r="132" spans="2:7" x14ac:dyDescent="0.3">
      <c r="B132" s="31"/>
      <c r="C132" s="31"/>
      <c r="D132" s="32"/>
      <c r="E132" s="33"/>
      <c r="F132" s="33">
        <f t="shared" si="1"/>
        <v>0</v>
      </c>
      <c r="G132" s="33"/>
    </row>
    <row r="133" spans="2:7" x14ac:dyDescent="0.3">
      <c r="B133" s="15"/>
      <c r="C133" s="15"/>
      <c r="D133" s="17"/>
      <c r="E133" s="13"/>
      <c r="F133" s="13">
        <f t="shared" si="1"/>
        <v>0</v>
      </c>
      <c r="G133" s="13"/>
    </row>
    <row r="134" spans="2:7" x14ac:dyDescent="0.3">
      <c r="B134" s="31"/>
      <c r="C134" s="31"/>
      <c r="D134" s="32"/>
      <c r="E134" s="33"/>
      <c r="F134" s="33">
        <f t="shared" si="1"/>
        <v>0</v>
      </c>
      <c r="G134" s="33"/>
    </row>
    <row r="135" spans="2:7" x14ac:dyDescent="0.3">
      <c r="B135" s="15"/>
      <c r="C135" s="15"/>
      <c r="D135" s="17"/>
      <c r="E135" s="13"/>
      <c r="F135" s="13">
        <f t="shared" ref="F135:F198" si="2">E135*C135</f>
        <v>0</v>
      </c>
      <c r="G135" s="13"/>
    </row>
    <row r="136" spans="2:7" x14ac:dyDescent="0.3">
      <c r="B136" s="31"/>
      <c r="C136" s="31"/>
      <c r="D136" s="32"/>
      <c r="E136" s="33"/>
      <c r="F136" s="33">
        <f t="shared" si="2"/>
        <v>0</v>
      </c>
      <c r="G136" s="33"/>
    </row>
    <row r="137" spans="2:7" x14ac:dyDescent="0.3">
      <c r="B137" s="15"/>
      <c r="C137" s="21"/>
      <c r="D137" s="22"/>
      <c r="E137" s="23"/>
      <c r="F137" s="23">
        <f t="shared" si="2"/>
        <v>0</v>
      </c>
      <c r="G137" s="13"/>
    </row>
    <row r="138" spans="2:7" x14ac:dyDescent="0.3">
      <c r="B138" s="31"/>
      <c r="C138" s="31"/>
      <c r="D138" s="32"/>
      <c r="E138" s="33"/>
      <c r="F138" s="33">
        <f t="shared" si="2"/>
        <v>0</v>
      </c>
      <c r="G138" s="33"/>
    </row>
    <row r="139" spans="2:7" x14ac:dyDescent="0.3">
      <c r="B139" s="15"/>
      <c r="C139" s="15"/>
      <c r="D139" s="17"/>
      <c r="E139" s="13"/>
      <c r="F139" s="13">
        <f t="shared" si="2"/>
        <v>0</v>
      </c>
      <c r="G139" s="13"/>
    </row>
    <row r="140" spans="2:7" x14ac:dyDescent="0.3">
      <c r="B140" s="31"/>
      <c r="C140" s="31"/>
      <c r="D140" s="32"/>
      <c r="E140" s="33"/>
      <c r="F140" s="33">
        <f t="shared" si="2"/>
        <v>0</v>
      </c>
      <c r="G140" s="33"/>
    </row>
    <row r="141" spans="2:7" x14ac:dyDescent="0.3">
      <c r="B141" s="15"/>
      <c r="C141" s="15"/>
      <c r="D141" s="17"/>
      <c r="E141" s="13"/>
      <c r="F141" s="13">
        <f t="shared" si="2"/>
        <v>0</v>
      </c>
      <c r="G141" s="13"/>
    </row>
    <row r="142" spans="2:7" x14ac:dyDescent="0.3">
      <c r="B142" s="31"/>
      <c r="C142" s="31"/>
      <c r="D142" s="32"/>
      <c r="E142" s="33"/>
      <c r="F142" s="33">
        <f t="shared" si="2"/>
        <v>0</v>
      </c>
      <c r="G142" s="33"/>
    </row>
    <row r="143" spans="2:7" x14ac:dyDescent="0.3">
      <c r="B143" s="15"/>
      <c r="C143" s="21"/>
      <c r="D143" s="22"/>
      <c r="E143" s="23"/>
      <c r="F143" s="23">
        <f t="shared" si="2"/>
        <v>0</v>
      </c>
      <c r="G143" s="13"/>
    </row>
    <row r="144" spans="2:7" x14ac:dyDescent="0.3">
      <c r="B144" s="31"/>
      <c r="C144" s="31"/>
      <c r="D144" s="32"/>
      <c r="E144" s="33"/>
      <c r="F144" s="33">
        <f t="shared" si="2"/>
        <v>0</v>
      </c>
      <c r="G144" s="33"/>
    </row>
    <row r="145" spans="2:7" x14ac:dyDescent="0.3">
      <c r="B145" s="15"/>
      <c r="C145" s="15"/>
      <c r="D145" s="17"/>
      <c r="E145" s="13"/>
      <c r="F145" s="13">
        <f t="shared" si="2"/>
        <v>0</v>
      </c>
      <c r="G145" s="13"/>
    </row>
    <row r="146" spans="2:7" x14ac:dyDescent="0.3">
      <c r="B146" s="31"/>
      <c r="C146" s="31"/>
      <c r="D146" s="32"/>
      <c r="E146" s="33"/>
      <c r="F146" s="33">
        <f t="shared" si="2"/>
        <v>0</v>
      </c>
      <c r="G146" s="33"/>
    </row>
    <row r="147" spans="2:7" x14ac:dyDescent="0.3">
      <c r="B147" s="15"/>
      <c r="C147" s="15"/>
      <c r="D147" s="17"/>
      <c r="E147" s="13"/>
      <c r="F147" s="13">
        <f t="shared" si="2"/>
        <v>0</v>
      </c>
      <c r="G147" s="13"/>
    </row>
    <row r="148" spans="2:7" x14ac:dyDescent="0.3">
      <c r="B148" s="31"/>
      <c r="C148" s="31"/>
      <c r="D148" s="32"/>
      <c r="E148" s="33"/>
      <c r="F148" s="33">
        <f t="shared" si="2"/>
        <v>0</v>
      </c>
      <c r="G148" s="33"/>
    </row>
    <row r="149" spans="2:7" x14ac:dyDescent="0.3">
      <c r="B149" s="15"/>
      <c r="C149" s="21"/>
      <c r="D149" s="22"/>
      <c r="E149" s="23"/>
      <c r="F149" s="23">
        <f t="shared" si="2"/>
        <v>0</v>
      </c>
      <c r="G149" s="13"/>
    </row>
    <row r="150" spans="2:7" x14ac:dyDescent="0.3">
      <c r="B150" s="31"/>
      <c r="C150" s="31"/>
      <c r="D150" s="32"/>
      <c r="E150" s="33"/>
      <c r="F150" s="33">
        <f t="shared" si="2"/>
        <v>0</v>
      </c>
      <c r="G150" s="33"/>
    </row>
    <row r="151" spans="2:7" x14ac:dyDescent="0.3">
      <c r="B151" s="15"/>
      <c r="C151" s="15"/>
      <c r="D151" s="17"/>
      <c r="E151" s="13"/>
      <c r="F151" s="13">
        <f t="shared" si="2"/>
        <v>0</v>
      </c>
      <c r="G151" s="13"/>
    </row>
    <row r="152" spans="2:7" x14ac:dyDescent="0.3">
      <c r="B152" s="31"/>
      <c r="C152" s="31"/>
      <c r="D152" s="32"/>
      <c r="E152" s="33"/>
      <c r="F152" s="33">
        <f t="shared" si="2"/>
        <v>0</v>
      </c>
      <c r="G152" s="33"/>
    </row>
    <row r="153" spans="2:7" x14ac:dyDescent="0.3">
      <c r="B153" s="15"/>
      <c r="C153" s="15"/>
      <c r="D153" s="17"/>
      <c r="E153" s="13"/>
      <c r="F153" s="13">
        <f t="shared" si="2"/>
        <v>0</v>
      </c>
      <c r="G153" s="13"/>
    </row>
    <row r="154" spans="2:7" x14ac:dyDescent="0.3">
      <c r="B154" s="31"/>
      <c r="C154" s="31"/>
      <c r="D154" s="32"/>
      <c r="E154" s="33"/>
      <c r="F154" s="33">
        <f t="shared" si="2"/>
        <v>0</v>
      </c>
      <c r="G154" s="33"/>
    </row>
    <row r="155" spans="2:7" x14ac:dyDescent="0.3">
      <c r="B155" s="15"/>
      <c r="C155" s="21"/>
      <c r="D155" s="22"/>
      <c r="E155" s="23"/>
      <c r="F155" s="23">
        <f t="shared" si="2"/>
        <v>0</v>
      </c>
      <c r="G155" s="13"/>
    </row>
    <row r="156" spans="2:7" x14ac:dyDescent="0.3">
      <c r="B156" s="31"/>
      <c r="C156" s="31"/>
      <c r="D156" s="32"/>
      <c r="E156" s="33"/>
      <c r="F156" s="33">
        <f t="shared" si="2"/>
        <v>0</v>
      </c>
      <c r="G156" s="33"/>
    </row>
    <row r="157" spans="2:7" x14ac:dyDescent="0.3">
      <c r="B157" s="15"/>
      <c r="C157" s="15"/>
      <c r="D157" s="17"/>
      <c r="E157" s="13"/>
      <c r="F157" s="13">
        <f t="shared" si="2"/>
        <v>0</v>
      </c>
      <c r="G157" s="13"/>
    </row>
    <row r="158" spans="2:7" x14ac:dyDescent="0.3">
      <c r="B158" s="31"/>
      <c r="C158" s="31"/>
      <c r="D158" s="32"/>
      <c r="E158" s="33"/>
      <c r="F158" s="33">
        <f t="shared" si="2"/>
        <v>0</v>
      </c>
      <c r="G158" s="33"/>
    </row>
    <row r="159" spans="2:7" x14ac:dyDescent="0.3">
      <c r="B159" s="15"/>
      <c r="C159" s="15"/>
      <c r="D159" s="17"/>
      <c r="E159" s="13"/>
      <c r="F159" s="13">
        <f t="shared" si="2"/>
        <v>0</v>
      </c>
      <c r="G159" s="13"/>
    </row>
    <row r="160" spans="2:7" x14ac:dyDescent="0.3">
      <c r="B160" s="31"/>
      <c r="C160" s="31"/>
      <c r="D160" s="32"/>
      <c r="E160" s="33"/>
      <c r="F160" s="33">
        <f t="shared" si="2"/>
        <v>0</v>
      </c>
      <c r="G160" s="33"/>
    </row>
    <row r="161" spans="2:7" x14ac:dyDescent="0.3">
      <c r="B161" s="15"/>
      <c r="C161" s="21"/>
      <c r="D161" s="22"/>
      <c r="E161" s="23"/>
      <c r="F161" s="23">
        <f t="shared" si="2"/>
        <v>0</v>
      </c>
      <c r="G161" s="13"/>
    </row>
    <row r="162" spans="2:7" x14ac:dyDescent="0.3">
      <c r="B162" s="31"/>
      <c r="C162" s="31"/>
      <c r="D162" s="32"/>
      <c r="E162" s="33"/>
      <c r="F162" s="33">
        <f t="shared" si="2"/>
        <v>0</v>
      </c>
      <c r="G162" s="33"/>
    </row>
    <row r="163" spans="2:7" x14ac:dyDescent="0.3">
      <c r="B163" s="15"/>
      <c r="C163" s="15"/>
      <c r="D163" s="17"/>
      <c r="E163" s="13"/>
      <c r="F163" s="13">
        <f t="shared" si="2"/>
        <v>0</v>
      </c>
      <c r="G163" s="13"/>
    </row>
    <row r="164" spans="2:7" x14ac:dyDescent="0.3">
      <c r="B164" s="31"/>
      <c r="C164" s="31"/>
      <c r="D164" s="32"/>
      <c r="E164" s="33"/>
      <c r="F164" s="33">
        <f t="shared" si="2"/>
        <v>0</v>
      </c>
      <c r="G164" s="33"/>
    </row>
    <row r="165" spans="2:7" x14ac:dyDescent="0.3">
      <c r="B165" s="15"/>
      <c r="C165" s="15"/>
      <c r="D165" s="17"/>
      <c r="E165" s="13"/>
      <c r="F165" s="13">
        <f t="shared" si="2"/>
        <v>0</v>
      </c>
      <c r="G165" s="13"/>
    </row>
    <row r="166" spans="2:7" x14ac:dyDescent="0.3">
      <c r="B166" s="31"/>
      <c r="C166" s="31"/>
      <c r="D166" s="32"/>
      <c r="E166" s="33"/>
      <c r="F166" s="33">
        <f t="shared" si="2"/>
        <v>0</v>
      </c>
      <c r="G166" s="33"/>
    </row>
    <row r="167" spans="2:7" x14ac:dyDescent="0.3">
      <c r="B167" s="15"/>
      <c r="C167" s="21"/>
      <c r="D167" s="22"/>
      <c r="E167" s="23"/>
      <c r="F167" s="23">
        <f t="shared" si="2"/>
        <v>0</v>
      </c>
      <c r="G167" s="13"/>
    </row>
    <row r="168" spans="2:7" x14ac:dyDescent="0.3">
      <c r="B168" s="31"/>
      <c r="C168" s="31"/>
      <c r="D168" s="32"/>
      <c r="E168" s="33"/>
      <c r="F168" s="33">
        <f t="shared" si="2"/>
        <v>0</v>
      </c>
      <c r="G168" s="33"/>
    </row>
    <row r="169" spans="2:7" x14ac:dyDescent="0.3">
      <c r="B169" s="15"/>
      <c r="C169" s="15"/>
      <c r="D169" s="17"/>
      <c r="E169" s="13"/>
      <c r="F169" s="13">
        <f t="shared" si="2"/>
        <v>0</v>
      </c>
      <c r="G169" s="13"/>
    </row>
    <row r="170" spans="2:7" x14ac:dyDescent="0.3">
      <c r="B170" s="31"/>
      <c r="C170" s="31"/>
      <c r="D170" s="32"/>
      <c r="E170" s="33"/>
      <c r="F170" s="33">
        <f t="shared" si="2"/>
        <v>0</v>
      </c>
      <c r="G170" s="33"/>
    </row>
    <row r="171" spans="2:7" x14ac:dyDescent="0.3">
      <c r="B171" s="15"/>
      <c r="C171" s="15"/>
      <c r="D171" s="17"/>
      <c r="E171" s="13"/>
      <c r="F171" s="13">
        <f t="shared" si="2"/>
        <v>0</v>
      </c>
      <c r="G171" s="13"/>
    </row>
    <row r="172" spans="2:7" x14ac:dyDescent="0.3">
      <c r="B172" s="31"/>
      <c r="C172" s="31"/>
      <c r="D172" s="32"/>
      <c r="E172" s="33"/>
      <c r="F172" s="33">
        <f t="shared" si="2"/>
        <v>0</v>
      </c>
      <c r="G172" s="33"/>
    </row>
    <row r="173" spans="2:7" x14ac:dyDescent="0.3">
      <c r="B173" s="15"/>
      <c r="C173" s="21"/>
      <c r="D173" s="22"/>
      <c r="E173" s="23"/>
      <c r="F173" s="23">
        <f t="shared" si="2"/>
        <v>0</v>
      </c>
      <c r="G173" s="13"/>
    </row>
    <row r="174" spans="2:7" x14ac:dyDescent="0.3">
      <c r="B174" s="31"/>
      <c r="C174" s="31"/>
      <c r="D174" s="32"/>
      <c r="E174" s="33"/>
      <c r="F174" s="33">
        <f t="shared" si="2"/>
        <v>0</v>
      </c>
      <c r="G174" s="33"/>
    </row>
    <row r="175" spans="2:7" x14ac:dyDescent="0.3">
      <c r="B175" s="15"/>
      <c r="C175" s="15"/>
      <c r="D175" s="17"/>
      <c r="E175" s="13"/>
      <c r="F175" s="13">
        <f t="shared" si="2"/>
        <v>0</v>
      </c>
      <c r="G175" s="13"/>
    </row>
    <row r="176" spans="2:7" x14ac:dyDescent="0.3">
      <c r="B176" s="31"/>
      <c r="C176" s="31"/>
      <c r="D176" s="32"/>
      <c r="E176" s="33"/>
      <c r="F176" s="33">
        <f t="shared" si="2"/>
        <v>0</v>
      </c>
      <c r="G176" s="33"/>
    </row>
    <row r="177" spans="2:7" x14ac:dyDescent="0.3">
      <c r="B177" s="15"/>
      <c r="C177" s="15"/>
      <c r="D177" s="17"/>
      <c r="E177" s="13"/>
      <c r="F177" s="13">
        <f t="shared" si="2"/>
        <v>0</v>
      </c>
      <c r="G177" s="13"/>
    </row>
    <row r="178" spans="2:7" x14ac:dyDescent="0.3">
      <c r="B178" s="31"/>
      <c r="C178" s="31"/>
      <c r="D178" s="32"/>
      <c r="E178" s="33"/>
      <c r="F178" s="33">
        <f t="shared" si="2"/>
        <v>0</v>
      </c>
      <c r="G178" s="33"/>
    </row>
    <row r="179" spans="2:7" x14ac:dyDescent="0.3">
      <c r="B179" s="15"/>
      <c r="C179" s="21"/>
      <c r="D179" s="22"/>
      <c r="E179" s="23"/>
      <c r="F179" s="23">
        <f t="shared" si="2"/>
        <v>0</v>
      </c>
      <c r="G179" s="13"/>
    </row>
    <row r="180" spans="2:7" x14ac:dyDescent="0.3">
      <c r="B180" s="31"/>
      <c r="C180" s="31"/>
      <c r="D180" s="32"/>
      <c r="E180" s="33"/>
      <c r="F180" s="33">
        <f t="shared" si="2"/>
        <v>0</v>
      </c>
      <c r="G180" s="33"/>
    </row>
    <row r="181" spans="2:7" x14ac:dyDescent="0.3">
      <c r="B181" s="15"/>
      <c r="C181" s="15"/>
      <c r="D181" s="17"/>
      <c r="E181" s="13"/>
      <c r="F181" s="13">
        <f t="shared" si="2"/>
        <v>0</v>
      </c>
      <c r="G181" s="13"/>
    </row>
    <row r="182" spans="2:7" x14ac:dyDescent="0.3">
      <c r="B182" s="31"/>
      <c r="C182" s="31"/>
      <c r="D182" s="32"/>
      <c r="E182" s="33"/>
      <c r="F182" s="33">
        <f t="shared" si="2"/>
        <v>0</v>
      </c>
      <c r="G182" s="33"/>
    </row>
    <row r="183" spans="2:7" x14ac:dyDescent="0.3">
      <c r="B183" s="15"/>
      <c r="C183" s="15"/>
      <c r="D183" s="17"/>
      <c r="E183" s="13"/>
      <c r="F183" s="13">
        <f t="shared" si="2"/>
        <v>0</v>
      </c>
      <c r="G183" s="13"/>
    </row>
    <row r="184" spans="2:7" x14ac:dyDescent="0.3">
      <c r="B184" s="31"/>
      <c r="C184" s="31"/>
      <c r="D184" s="32"/>
      <c r="E184" s="33"/>
      <c r="F184" s="33">
        <f t="shared" si="2"/>
        <v>0</v>
      </c>
      <c r="G184" s="33"/>
    </row>
    <row r="185" spans="2:7" x14ac:dyDescent="0.3">
      <c r="B185" s="15"/>
      <c r="C185" s="21"/>
      <c r="D185" s="22"/>
      <c r="E185" s="23"/>
      <c r="F185" s="23">
        <f t="shared" si="2"/>
        <v>0</v>
      </c>
      <c r="G185" s="13"/>
    </row>
    <row r="186" spans="2:7" x14ac:dyDescent="0.3">
      <c r="B186" s="31"/>
      <c r="C186" s="31"/>
      <c r="D186" s="32"/>
      <c r="E186" s="33"/>
      <c r="F186" s="33">
        <f t="shared" si="2"/>
        <v>0</v>
      </c>
      <c r="G186" s="33"/>
    </row>
    <row r="187" spans="2:7" x14ac:dyDescent="0.3">
      <c r="B187" s="15"/>
      <c r="C187" s="15"/>
      <c r="D187" s="17"/>
      <c r="E187" s="13"/>
      <c r="F187" s="13">
        <f t="shared" si="2"/>
        <v>0</v>
      </c>
      <c r="G187" s="13"/>
    </row>
    <row r="188" spans="2:7" x14ac:dyDescent="0.3">
      <c r="B188" s="31"/>
      <c r="C188" s="31"/>
      <c r="D188" s="32"/>
      <c r="E188" s="33"/>
      <c r="F188" s="33">
        <f t="shared" si="2"/>
        <v>0</v>
      </c>
      <c r="G188" s="33"/>
    </row>
    <row r="189" spans="2:7" x14ac:dyDescent="0.3">
      <c r="B189" s="15"/>
      <c r="C189" s="15"/>
      <c r="D189" s="17"/>
      <c r="E189" s="13"/>
      <c r="F189" s="13">
        <f t="shared" si="2"/>
        <v>0</v>
      </c>
      <c r="G189" s="13"/>
    </row>
    <row r="190" spans="2:7" x14ac:dyDescent="0.3">
      <c r="B190" s="31"/>
      <c r="C190" s="31"/>
      <c r="D190" s="32"/>
      <c r="E190" s="33"/>
      <c r="F190" s="33">
        <f t="shared" si="2"/>
        <v>0</v>
      </c>
      <c r="G190" s="33"/>
    </row>
    <row r="191" spans="2:7" x14ac:dyDescent="0.3">
      <c r="B191" s="15"/>
      <c r="C191" s="21"/>
      <c r="D191" s="22"/>
      <c r="E191" s="23"/>
      <c r="F191" s="23">
        <f t="shared" si="2"/>
        <v>0</v>
      </c>
      <c r="G191" s="13"/>
    </row>
    <row r="192" spans="2:7" x14ac:dyDescent="0.3">
      <c r="B192" s="31"/>
      <c r="C192" s="31"/>
      <c r="D192" s="32"/>
      <c r="E192" s="33"/>
      <c r="F192" s="33">
        <f t="shared" si="2"/>
        <v>0</v>
      </c>
      <c r="G192" s="33"/>
    </row>
    <row r="193" spans="2:7" x14ac:dyDescent="0.3">
      <c r="B193" s="15"/>
      <c r="C193" s="15"/>
      <c r="D193" s="17"/>
      <c r="E193" s="13"/>
      <c r="F193" s="13">
        <f t="shared" si="2"/>
        <v>0</v>
      </c>
      <c r="G193" s="13"/>
    </row>
    <row r="194" spans="2:7" x14ac:dyDescent="0.3">
      <c r="B194" s="31"/>
      <c r="C194" s="31"/>
      <c r="D194" s="32"/>
      <c r="E194" s="33"/>
      <c r="F194" s="33">
        <f t="shared" si="2"/>
        <v>0</v>
      </c>
      <c r="G194" s="33"/>
    </row>
    <row r="195" spans="2:7" x14ac:dyDescent="0.3">
      <c r="B195" s="15"/>
      <c r="C195" s="15"/>
      <c r="D195" s="17"/>
      <c r="E195" s="13"/>
      <c r="F195" s="13">
        <f t="shared" si="2"/>
        <v>0</v>
      </c>
      <c r="G195" s="13"/>
    </row>
    <row r="196" spans="2:7" x14ac:dyDescent="0.3">
      <c r="B196" s="31"/>
      <c r="C196" s="31"/>
      <c r="D196" s="32"/>
      <c r="E196" s="33"/>
      <c r="F196" s="33">
        <f t="shared" si="2"/>
        <v>0</v>
      </c>
      <c r="G196" s="33"/>
    </row>
    <row r="197" spans="2:7" x14ac:dyDescent="0.3">
      <c r="B197" s="15"/>
      <c r="C197" s="21"/>
      <c r="D197" s="22"/>
      <c r="E197" s="23"/>
      <c r="F197" s="23">
        <f t="shared" si="2"/>
        <v>0</v>
      </c>
      <c r="G197" s="13"/>
    </row>
    <row r="198" spans="2:7" x14ac:dyDescent="0.3">
      <c r="B198" s="31"/>
      <c r="C198" s="31"/>
      <c r="D198" s="32"/>
      <c r="E198" s="33"/>
      <c r="F198" s="33">
        <f t="shared" si="2"/>
        <v>0</v>
      </c>
      <c r="G198" s="33"/>
    </row>
    <row r="199" spans="2:7" x14ac:dyDescent="0.3">
      <c r="B199" s="15"/>
      <c r="C199" s="15"/>
      <c r="D199" s="17"/>
      <c r="E199" s="13"/>
      <c r="F199" s="13">
        <f t="shared" ref="F199:F262" si="3">E199*C199</f>
        <v>0</v>
      </c>
      <c r="G199" s="13"/>
    </row>
    <row r="200" spans="2:7" x14ac:dyDescent="0.3">
      <c r="B200" s="31"/>
      <c r="C200" s="31"/>
      <c r="D200" s="32"/>
      <c r="E200" s="33"/>
      <c r="F200" s="33">
        <f t="shared" si="3"/>
        <v>0</v>
      </c>
      <c r="G200" s="33"/>
    </row>
    <row r="201" spans="2:7" x14ac:dyDescent="0.3">
      <c r="B201" s="15"/>
      <c r="C201" s="15"/>
      <c r="D201" s="17"/>
      <c r="E201" s="13"/>
      <c r="F201" s="13">
        <f t="shared" si="3"/>
        <v>0</v>
      </c>
      <c r="G201" s="13"/>
    </row>
    <row r="202" spans="2:7" x14ac:dyDescent="0.3">
      <c r="B202" s="31"/>
      <c r="C202" s="31"/>
      <c r="D202" s="32"/>
      <c r="E202" s="33"/>
      <c r="F202" s="33">
        <f t="shared" si="3"/>
        <v>0</v>
      </c>
      <c r="G202" s="33"/>
    </row>
    <row r="203" spans="2:7" x14ac:dyDescent="0.3">
      <c r="B203" s="15"/>
      <c r="C203" s="21"/>
      <c r="D203" s="22"/>
      <c r="E203" s="23"/>
      <c r="F203" s="23">
        <f t="shared" si="3"/>
        <v>0</v>
      </c>
      <c r="G203" s="13"/>
    </row>
    <row r="204" spans="2:7" x14ac:dyDescent="0.3">
      <c r="B204" s="31"/>
      <c r="C204" s="31"/>
      <c r="D204" s="32"/>
      <c r="E204" s="33"/>
      <c r="F204" s="33">
        <f t="shared" si="3"/>
        <v>0</v>
      </c>
      <c r="G204" s="33"/>
    </row>
    <row r="205" spans="2:7" x14ac:dyDescent="0.3">
      <c r="B205" s="15"/>
      <c r="C205" s="15"/>
      <c r="D205" s="17"/>
      <c r="E205" s="13"/>
      <c r="F205" s="13">
        <f t="shared" si="3"/>
        <v>0</v>
      </c>
      <c r="G205" s="13"/>
    </row>
    <row r="206" spans="2:7" x14ac:dyDescent="0.3">
      <c r="B206" s="31"/>
      <c r="C206" s="31"/>
      <c r="D206" s="32"/>
      <c r="E206" s="33"/>
      <c r="F206" s="33">
        <f t="shared" si="3"/>
        <v>0</v>
      </c>
      <c r="G206" s="33"/>
    </row>
    <row r="207" spans="2:7" x14ac:dyDescent="0.3">
      <c r="B207" s="15"/>
      <c r="C207" s="15"/>
      <c r="D207" s="17"/>
      <c r="E207" s="13"/>
      <c r="F207" s="13">
        <f t="shared" si="3"/>
        <v>0</v>
      </c>
      <c r="G207" s="13"/>
    </row>
    <row r="208" spans="2:7" x14ac:dyDescent="0.3">
      <c r="B208" s="31"/>
      <c r="C208" s="31"/>
      <c r="D208" s="32"/>
      <c r="E208" s="33"/>
      <c r="F208" s="33">
        <f t="shared" si="3"/>
        <v>0</v>
      </c>
      <c r="G208" s="33"/>
    </row>
    <row r="209" spans="2:7" x14ac:dyDescent="0.3">
      <c r="B209" s="15"/>
      <c r="C209" s="21"/>
      <c r="D209" s="22"/>
      <c r="E209" s="23"/>
      <c r="F209" s="23">
        <f t="shared" si="3"/>
        <v>0</v>
      </c>
      <c r="G209" s="13"/>
    </row>
    <row r="210" spans="2:7" x14ac:dyDescent="0.3">
      <c r="B210" s="31"/>
      <c r="C210" s="31"/>
      <c r="D210" s="32"/>
      <c r="E210" s="33"/>
      <c r="F210" s="33">
        <f t="shared" si="3"/>
        <v>0</v>
      </c>
      <c r="G210" s="33"/>
    </row>
    <row r="211" spans="2:7" x14ac:dyDescent="0.3">
      <c r="B211" s="15"/>
      <c r="C211" s="15"/>
      <c r="D211" s="17"/>
      <c r="E211" s="13"/>
      <c r="F211" s="13">
        <f t="shared" si="3"/>
        <v>0</v>
      </c>
      <c r="G211" s="13"/>
    </row>
    <row r="212" spans="2:7" x14ac:dyDescent="0.3">
      <c r="B212" s="31"/>
      <c r="C212" s="31"/>
      <c r="D212" s="32"/>
      <c r="E212" s="33"/>
      <c r="F212" s="33">
        <f t="shared" si="3"/>
        <v>0</v>
      </c>
      <c r="G212" s="33"/>
    </row>
    <row r="213" spans="2:7" x14ac:dyDescent="0.3">
      <c r="B213" s="15"/>
      <c r="C213" s="15"/>
      <c r="D213" s="17"/>
      <c r="E213" s="13"/>
      <c r="F213" s="13">
        <f t="shared" si="3"/>
        <v>0</v>
      </c>
      <c r="G213" s="13"/>
    </row>
    <row r="214" spans="2:7" x14ac:dyDescent="0.3">
      <c r="B214" s="31"/>
      <c r="C214" s="31"/>
      <c r="D214" s="32"/>
      <c r="E214" s="33"/>
      <c r="F214" s="33">
        <f t="shared" si="3"/>
        <v>0</v>
      </c>
      <c r="G214" s="33"/>
    </row>
    <row r="215" spans="2:7" x14ac:dyDescent="0.3">
      <c r="B215" s="15"/>
      <c r="C215" s="21"/>
      <c r="D215" s="22"/>
      <c r="E215" s="23"/>
      <c r="F215" s="23">
        <f t="shared" si="3"/>
        <v>0</v>
      </c>
      <c r="G215" s="13"/>
    </row>
    <row r="216" spans="2:7" x14ac:dyDescent="0.3">
      <c r="B216" s="31"/>
      <c r="C216" s="31"/>
      <c r="D216" s="32"/>
      <c r="E216" s="33"/>
      <c r="F216" s="33">
        <f t="shared" si="3"/>
        <v>0</v>
      </c>
      <c r="G216" s="33"/>
    </row>
    <row r="217" spans="2:7" x14ac:dyDescent="0.3">
      <c r="B217" s="15"/>
      <c r="C217" s="15"/>
      <c r="D217" s="17"/>
      <c r="E217" s="13"/>
      <c r="F217" s="13">
        <f t="shared" si="3"/>
        <v>0</v>
      </c>
      <c r="G217" s="13"/>
    </row>
    <row r="218" spans="2:7" x14ac:dyDescent="0.3">
      <c r="B218" s="31"/>
      <c r="C218" s="31"/>
      <c r="D218" s="32"/>
      <c r="E218" s="33"/>
      <c r="F218" s="33">
        <f t="shared" si="3"/>
        <v>0</v>
      </c>
      <c r="G218" s="33"/>
    </row>
    <row r="219" spans="2:7" x14ac:dyDescent="0.3">
      <c r="B219" s="15"/>
      <c r="C219" s="15"/>
      <c r="D219" s="17"/>
      <c r="E219" s="13"/>
      <c r="F219" s="13">
        <f t="shared" si="3"/>
        <v>0</v>
      </c>
      <c r="G219" s="13"/>
    </row>
    <row r="220" spans="2:7" x14ac:dyDescent="0.3">
      <c r="B220" s="31"/>
      <c r="C220" s="31"/>
      <c r="D220" s="32"/>
      <c r="E220" s="33"/>
      <c r="F220" s="33">
        <f t="shared" si="3"/>
        <v>0</v>
      </c>
      <c r="G220" s="33"/>
    </row>
    <row r="221" spans="2:7" x14ac:dyDescent="0.3">
      <c r="B221" s="15"/>
      <c r="C221" s="21"/>
      <c r="D221" s="22"/>
      <c r="E221" s="23"/>
      <c r="F221" s="23">
        <f t="shared" si="3"/>
        <v>0</v>
      </c>
      <c r="G221" s="13"/>
    </row>
    <row r="222" spans="2:7" x14ac:dyDescent="0.3">
      <c r="B222" s="31"/>
      <c r="C222" s="31"/>
      <c r="D222" s="32"/>
      <c r="E222" s="33"/>
      <c r="F222" s="33">
        <f t="shared" si="3"/>
        <v>0</v>
      </c>
      <c r="G222" s="33"/>
    </row>
    <row r="223" spans="2:7" x14ac:dyDescent="0.3">
      <c r="B223" s="15"/>
      <c r="C223" s="15"/>
      <c r="D223" s="17"/>
      <c r="E223" s="13"/>
      <c r="F223" s="13">
        <f t="shared" si="3"/>
        <v>0</v>
      </c>
      <c r="G223" s="13"/>
    </row>
    <row r="224" spans="2:7" x14ac:dyDescent="0.3">
      <c r="B224" s="31"/>
      <c r="C224" s="31"/>
      <c r="D224" s="32"/>
      <c r="E224" s="33"/>
      <c r="F224" s="33">
        <f t="shared" si="3"/>
        <v>0</v>
      </c>
      <c r="G224" s="33"/>
    </row>
    <row r="225" spans="2:7" x14ac:dyDescent="0.3">
      <c r="B225" s="15"/>
      <c r="C225" s="15"/>
      <c r="D225" s="17"/>
      <c r="E225" s="13"/>
      <c r="F225" s="13">
        <f t="shared" si="3"/>
        <v>0</v>
      </c>
      <c r="G225" s="13"/>
    </row>
    <row r="226" spans="2:7" x14ac:dyDescent="0.3">
      <c r="B226" s="31"/>
      <c r="C226" s="31"/>
      <c r="D226" s="32"/>
      <c r="E226" s="33"/>
      <c r="F226" s="33">
        <f t="shared" si="3"/>
        <v>0</v>
      </c>
      <c r="G226" s="33"/>
    </row>
    <row r="227" spans="2:7" x14ac:dyDescent="0.3">
      <c r="B227" s="15"/>
      <c r="C227" s="21"/>
      <c r="D227" s="22"/>
      <c r="E227" s="23"/>
      <c r="F227" s="23">
        <f t="shared" si="3"/>
        <v>0</v>
      </c>
      <c r="G227" s="13"/>
    </row>
    <row r="228" spans="2:7" x14ac:dyDescent="0.3">
      <c r="B228" s="31"/>
      <c r="C228" s="31"/>
      <c r="D228" s="32"/>
      <c r="E228" s="33"/>
      <c r="F228" s="33">
        <f t="shared" si="3"/>
        <v>0</v>
      </c>
      <c r="G228" s="33"/>
    </row>
    <row r="229" spans="2:7" x14ac:dyDescent="0.3">
      <c r="B229" s="15"/>
      <c r="C229" s="15"/>
      <c r="D229" s="17"/>
      <c r="E229" s="13"/>
      <c r="F229" s="13">
        <f t="shared" si="3"/>
        <v>0</v>
      </c>
      <c r="G229" s="13"/>
    </row>
    <row r="230" spans="2:7" x14ac:dyDescent="0.3">
      <c r="B230" s="31"/>
      <c r="C230" s="31"/>
      <c r="D230" s="32"/>
      <c r="E230" s="33"/>
      <c r="F230" s="33">
        <f t="shared" si="3"/>
        <v>0</v>
      </c>
      <c r="G230" s="33"/>
    </row>
    <row r="231" spans="2:7" x14ac:dyDescent="0.3">
      <c r="B231" s="15"/>
      <c r="C231" s="15"/>
      <c r="D231" s="17"/>
      <c r="E231" s="13"/>
      <c r="F231" s="13">
        <f t="shared" si="3"/>
        <v>0</v>
      </c>
      <c r="G231" s="13"/>
    </row>
    <row r="232" spans="2:7" x14ac:dyDescent="0.3">
      <c r="B232" s="31"/>
      <c r="C232" s="31"/>
      <c r="D232" s="32"/>
      <c r="E232" s="33"/>
      <c r="F232" s="33">
        <f t="shared" si="3"/>
        <v>0</v>
      </c>
      <c r="G232" s="33"/>
    </row>
    <row r="233" spans="2:7" x14ac:dyDescent="0.3">
      <c r="B233" s="15"/>
      <c r="C233" s="21"/>
      <c r="D233" s="22"/>
      <c r="E233" s="23"/>
      <c r="F233" s="23">
        <f t="shared" si="3"/>
        <v>0</v>
      </c>
      <c r="G233" s="13"/>
    </row>
    <row r="234" spans="2:7" x14ac:dyDescent="0.3">
      <c r="B234" s="31"/>
      <c r="C234" s="31"/>
      <c r="D234" s="32"/>
      <c r="E234" s="33"/>
      <c r="F234" s="33">
        <f t="shared" si="3"/>
        <v>0</v>
      </c>
      <c r="G234" s="33"/>
    </row>
    <row r="235" spans="2:7" x14ac:dyDescent="0.3">
      <c r="B235" s="15"/>
      <c r="C235" s="15"/>
      <c r="D235" s="17"/>
      <c r="E235" s="13"/>
      <c r="F235" s="13">
        <f t="shared" si="3"/>
        <v>0</v>
      </c>
      <c r="G235" s="13"/>
    </row>
    <row r="236" spans="2:7" x14ac:dyDescent="0.3">
      <c r="B236" s="31"/>
      <c r="C236" s="31"/>
      <c r="D236" s="32"/>
      <c r="E236" s="33"/>
      <c r="F236" s="33">
        <f t="shared" si="3"/>
        <v>0</v>
      </c>
      <c r="G236" s="33"/>
    </row>
    <row r="237" spans="2:7" x14ac:dyDescent="0.3">
      <c r="B237" s="15"/>
      <c r="C237" s="15"/>
      <c r="D237" s="17"/>
      <c r="E237" s="13"/>
      <c r="F237" s="13">
        <f t="shared" si="3"/>
        <v>0</v>
      </c>
      <c r="G237" s="13"/>
    </row>
    <row r="238" spans="2:7" x14ac:dyDescent="0.3">
      <c r="B238" s="31"/>
      <c r="C238" s="31"/>
      <c r="D238" s="32"/>
      <c r="E238" s="33"/>
      <c r="F238" s="33">
        <f t="shared" si="3"/>
        <v>0</v>
      </c>
      <c r="G238" s="33"/>
    </row>
    <row r="239" spans="2:7" x14ac:dyDescent="0.3">
      <c r="B239" s="15"/>
      <c r="C239" s="21"/>
      <c r="D239" s="22"/>
      <c r="E239" s="23"/>
      <c r="F239" s="23">
        <f t="shared" si="3"/>
        <v>0</v>
      </c>
      <c r="G239" s="13"/>
    </row>
    <row r="240" spans="2:7" x14ac:dyDescent="0.3">
      <c r="B240" s="31"/>
      <c r="C240" s="31"/>
      <c r="D240" s="32"/>
      <c r="E240" s="33"/>
      <c r="F240" s="33">
        <f t="shared" si="3"/>
        <v>0</v>
      </c>
      <c r="G240" s="33"/>
    </row>
    <row r="241" spans="2:7" x14ac:dyDescent="0.3">
      <c r="B241" s="15"/>
      <c r="C241" s="15"/>
      <c r="D241" s="17"/>
      <c r="E241" s="13"/>
      <c r="F241" s="13">
        <f t="shared" si="3"/>
        <v>0</v>
      </c>
      <c r="G241" s="13"/>
    </row>
    <row r="242" spans="2:7" x14ac:dyDescent="0.3">
      <c r="B242" s="31"/>
      <c r="C242" s="31"/>
      <c r="D242" s="32"/>
      <c r="E242" s="33"/>
      <c r="F242" s="33">
        <f t="shared" si="3"/>
        <v>0</v>
      </c>
      <c r="G242" s="33"/>
    </row>
    <row r="243" spans="2:7" x14ac:dyDescent="0.3">
      <c r="B243" s="15"/>
      <c r="C243" s="15"/>
      <c r="D243" s="17"/>
      <c r="E243" s="13"/>
      <c r="F243" s="13">
        <f t="shared" si="3"/>
        <v>0</v>
      </c>
      <c r="G243" s="13"/>
    </row>
    <row r="244" spans="2:7" x14ac:dyDescent="0.3">
      <c r="B244" s="31"/>
      <c r="C244" s="31"/>
      <c r="D244" s="32"/>
      <c r="E244" s="33"/>
      <c r="F244" s="33">
        <f t="shared" si="3"/>
        <v>0</v>
      </c>
      <c r="G244" s="33"/>
    </row>
    <row r="245" spans="2:7" x14ac:dyDescent="0.3">
      <c r="B245" s="15"/>
      <c r="C245" s="21"/>
      <c r="D245" s="22"/>
      <c r="E245" s="23"/>
      <c r="F245" s="23">
        <f t="shared" si="3"/>
        <v>0</v>
      </c>
      <c r="G245" s="13"/>
    </row>
    <row r="246" spans="2:7" x14ac:dyDescent="0.3">
      <c r="B246" s="31"/>
      <c r="C246" s="31"/>
      <c r="D246" s="32"/>
      <c r="E246" s="33"/>
      <c r="F246" s="33">
        <f t="shared" si="3"/>
        <v>0</v>
      </c>
      <c r="G246" s="33"/>
    </row>
    <row r="247" spans="2:7" x14ac:dyDescent="0.3">
      <c r="B247" s="15"/>
      <c r="C247" s="15"/>
      <c r="D247" s="17"/>
      <c r="E247" s="13"/>
      <c r="F247" s="13">
        <f t="shared" si="3"/>
        <v>0</v>
      </c>
      <c r="G247" s="13"/>
    </row>
    <row r="248" spans="2:7" x14ac:dyDescent="0.3">
      <c r="B248" s="31"/>
      <c r="C248" s="31"/>
      <c r="D248" s="32"/>
      <c r="E248" s="33"/>
      <c r="F248" s="33">
        <f t="shared" si="3"/>
        <v>0</v>
      </c>
      <c r="G248" s="33"/>
    </row>
    <row r="249" spans="2:7" x14ac:dyDescent="0.3">
      <c r="B249" s="15"/>
      <c r="C249" s="15"/>
      <c r="D249" s="17"/>
      <c r="E249" s="13"/>
      <c r="F249" s="13">
        <f t="shared" si="3"/>
        <v>0</v>
      </c>
      <c r="G249" s="13"/>
    </row>
    <row r="250" spans="2:7" x14ac:dyDescent="0.3">
      <c r="B250" s="31"/>
      <c r="C250" s="31"/>
      <c r="D250" s="32"/>
      <c r="E250" s="33"/>
      <c r="F250" s="33">
        <f t="shared" si="3"/>
        <v>0</v>
      </c>
      <c r="G250" s="33"/>
    </row>
    <row r="251" spans="2:7" x14ac:dyDescent="0.3">
      <c r="B251" s="15"/>
      <c r="C251" s="21"/>
      <c r="D251" s="22"/>
      <c r="E251" s="23"/>
      <c r="F251" s="23">
        <f t="shared" si="3"/>
        <v>0</v>
      </c>
      <c r="G251" s="13"/>
    </row>
    <row r="252" spans="2:7" x14ac:dyDescent="0.3">
      <c r="B252" s="31"/>
      <c r="C252" s="31"/>
      <c r="D252" s="32"/>
      <c r="E252" s="33"/>
      <c r="F252" s="33">
        <f t="shared" si="3"/>
        <v>0</v>
      </c>
      <c r="G252" s="33"/>
    </row>
    <row r="253" spans="2:7" x14ac:dyDescent="0.3">
      <c r="B253" s="15"/>
      <c r="C253" s="15"/>
      <c r="D253" s="17"/>
      <c r="E253" s="13"/>
      <c r="F253" s="13">
        <f t="shared" si="3"/>
        <v>0</v>
      </c>
      <c r="G253" s="13"/>
    </row>
    <row r="254" spans="2:7" x14ac:dyDescent="0.3">
      <c r="B254" s="31"/>
      <c r="C254" s="31"/>
      <c r="D254" s="32"/>
      <c r="E254" s="33"/>
      <c r="F254" s="33">
        <f t="shared" si="3"/>
        <v>0</v>
      </c>
      <c r="G254" s="33"/>
    </row>
    <row r="255" spans="2:7" x14ac:dyDescent="0.3">
      <c r="B255" s="15"/>
      <c r="C255" s="15"/>
      <c r="D255" s="17"/>
      <c r="E255" s="13"/>
      <c r="F255" s="13">
        <f t="shared" si="3"/>
        <v>0</v>
      </c>
      <c r="G255" s="13"/>
    </row>
    <row r="256" spans="2:7" x14ac:dyDescent="0.3">
      <c r="B256" s="31"/>
      <c r="C256" s="31"/>
      <c r="D256" s="32"/>
      <c r="E256" s="33"/>
      <c r="F256" s="33">
        <f t="shared" si="3"/>
        <v>0</v>
      </c>
      <c r="G256" s="33"/>
    </row>
    <row r="257" spans="2:7" x14ac:dyDescent="0.3">
      <c r="B257" s="15"/>
      <c r="C257" s="21"/>
      <c r="D257" s="22"/>
      <c r="E257" s="23"/>
      <c r="F257" s="23">
        <f t="shared" si="3"/>
        <v>0</v>
      </c>
      <c r="G257" s="13"/>
    </row>
    <row r="258" spans="2:7" x14ac:dyDescent="0.3">
      <c r="B258" s="31"/>
      <c r="C258" s="31"/>
      <c r="D258" s="32"/>
      <c r="E258" s="33"/>
      <c r="F258" s="33">
        <f t="shared" si="3"/>
        <v>0</v>
      </c>
      <c r="G258" s="33"/>
    </row>
    <row r="259" spans="2:7" x14ac:dyDescent="0.3">
      <c r="B259" s="15"/>
      <c r="C259" s="15"/>
      <c r="D259" s="17"/>
      <c r="E259" s="13"/>
      <c r="F259" s="13">
        <f t="shared" si="3"/>
        <v>0</v>
      </c>
      <c r="G259" s="13"/>
    </row>
    <row r="260" spans="2:7" x14ac:dyDescent="0.3">
      <c r="B260" s="31"/>
      <c r="C260" s="31"/>
      <c r="D260" s="32"/>
      <c r="E260" s="33"/>
      <c r="F260" s="33">
        <f t="shared" si="3"/>
        <v>0</v>
      </c>
      <c r="G260" s="33"/>
    </row>
    <row r="261" spans="2:7" x14ac:dyDescent="0.3">
      <c r="B261" s="15"/>
      <c r="C261" s="15"/>
      <c r="D261" s="17"/>
      <c r="E261" s="13"/>
      <c r="F261" s="13">
        <f t="shared" si="3"/>
        <v>0</v>
      </c>
      <c r="G261" s="13"/>
    </row>
    <row r="262" spans="2:7" x14ac:dyDescent="0.3">
      <c r="B262" s="31"/>
      <c r="C262" s="31"/>
      <c r="D262" s="32"/>
      <c r="E262" s="33"/>
      <c r="F262" s="33">
        <f t="shared" si="3"/>
        <v>0</v>
      </c>
      <c r="G262" s="33"/>
    </row>
    <row r="263" spans="2:7" x14ac:dyDescent="0.3">
      <c r="B263" s="15"/>
      <c r="C263" s="21"/>
      <c r="D263" s="22"/>
      <c r="E263" s="23"/>
      <c r="F263" s="23">
        <f t="shared" ref="F263:F326" si="4">E263*C263</f>
        <v>0</v>
      </c>
      <c r="G263" s="13"/>
    </row>
    <row r="264" spans="2:7" x14ac:dyDescent="0.3">
      <c r="B264" s="31"/>
      <c r="C264" s="31"/>
      <c r="D264" s="32"/>
      <c r="E264" s="33"/>
      <c r="F264" s="33">
        <f t="shared" si="4"/>
        <v>0</v>
      </c>
      <c r="G264" s="33"/>
    </row>
    <row r="265" spans="2:7" x14ac:dyDescent="0.3">
      <c r="B265" s="15"/>
      <c r="C265" s="15"/>
      <c r="D265" s="17"/>
      <c r="E265" s="13"/>
      <c r="F265" s="13">
        <f t="shared" si="4"/>
        <v>0</v>
      </c>
      <c r="G265" s="13"/>
    </row>
    <row r="266" spans="2:7" x14ac:dyDescent="0.3">
      <c r="B266" s="31"/>
      <c r="C266" s="31"/>
      <c r="D266" s="32"/>
      <c r="E266" s="33"/>
      <c r="F266" s="33">
        <f t="shared" si="4"/>
        <v>0</v>
      </c>
      <c r="G266" s="33"/>
    </row>
    <row r="267" spans="2:7" x14ac:dyDescent="0.3">
      <c r="B267" s="15"/>
      <c r="C267" s="15"/>
      <c r="D267" s="17"/>
      <c r="E267" s="13"/>
      <c r="F267" s="13">
        <f t="shared" si="4"/>
        <v>0</v>
      </c>
      <c r="G267" s="13"/>
    </row>
    <row r="268" spans="2:7" x14ac:dyDescent="0.3">
      <c r="B268" s="31"/>
      <c r="C268" s="31"/>
      <c r="D268" s="32"/>
      <c r="E268" s="33"/>
      <c r="F268" s="33">
        <f t="shared" si="4"/>
        <v>0</v>
      </c>
      <c r="G268" s="33"/>
    </row>
    <row r="269" spans="2:7" x14ac:dyDescent="0.3">
      <c r="B269" s="15"/>
      <c r="C269" s="21"/>
      <c r="D269" s="22"/>
      <c r="E269" s="23"/>
      <c r="F269" s="23">
        <f t="shared" si="4"/>
        <v>0</v>
      </c>
      <c r="G269" s="13"/>
    </row>
    <row r="270" spans="2:7" x14ac:dyDescent="0.3">
      <c r="B270" s="31"/>
      <c r="C270" s="31"/>
      <c r="D270" s="32"/>
      <c r="E270" s="33"/>
      <c r="F270" s="33">
        <f t="shared" si="4"/>
        <v>0</v>
      </c>
      <c r="G270" s="33"/>
    </row>
    <row r="271" spans="2:7" x14ac:dyDescent="0.3">
      <c r="B271" s="15"/>
      <c r="C271" s="15"/>
      <c r="D271" s="17"/>
      <c r="E271" s="13"/>
      <c r="F271" s="13">
        <f t="shared" si="4"/>
        <v>0</v>
      </c>
      <c r="G271" s="13"/>
    </row>
    <row r="272" spans="2:7" x14ac:dyDescent="0.3">
      <c r="B272" s="31"/>
      <c r="C272" s="31"/>
      <c r="D272" s="32"/>
      <c r="E272" s="33"/>
      <c r="F272" s="33">
        <f t="shared" si="4"/>
        <v>0</v>
      </c>
      <c r="G272" s="33"/>
    </row>
    <row r="273" spans="2:7" x14ac:dyDescent="0.3">
      <c r="B273" s="15"/>
      <c r="C273" s="15"/>
      <c r="D273" s="17"/>
      <c r="E273" s="13"/>
      <c r="F273" s="13">
        <f t="shared" si="4"/>
        <v>0</v>
      </c>
      <c r="G273" s="13"/>
    </row>
    <row r="274" spans="2:7" x14ac:dyDescent="0.3">
      <c r="B274" s="31"/>
      <c r="C274" s="31"/>
      <c r="D274" s="32"/>
      <c r="E274" s="33"/>
      <c r="F274" s="33">
        <f t="shared" si="4"/>
        <v>0</v>
      </c>
      <c r="G274" s="33"/>
    </row>
    <row r="275" spans="2:7" x14ac:dyDescent="0.3">
      <c r="B275" s="15"/>
      <c r="C275" s="21"/>
      <c r="D275" s="22"/>
      <c r="E275" s="23"/>
      <c r="F275" s="23">
        <f t="shared" si="4"/>
        <v>0</v>
      </c>
      <c r="G275" s="13"/>
    </row>
    <row r="276" spans="2:7" x14ac:dyDescent="0.3">
      <c r="B276" s="31"/>
      <c r="C276" s="31"/>
      <c r="D276" s="32"/>
      <c r="E276" s="33"/>
      <c r="F276" s="33">
        <f t="shared" si="4"/>
        <v>0</v>
      </c>
      <c r="G276" s="33"/>
    </row>
    <row r="277" spans="2:7" x14ac:dyDescent="0.3">
      <c r="B277" s="15"/>
      <c r="C277" s="15"/>
      <c r="D277" s="17"/>
      <c r="E277" s="13"/>
      <c r="F277" s="13">
        <f t="shared" si="4"/>
        <v>0</v>
      </c>
      <c r="G277" s="13"/>
    </row>
    <row r="278" spans="2:7" x14ac:dyDescent="0.3">
      <c r="B278" s="31"/>
      <c r="C278" s="31"/>
      <c r="D278" s="32"/>
      <c r="E278" s="33"/>
      <c r="F278" s="33">
        <f t="shared" si="4"/>
        <v>0</v>
      </c>
      <c r="G278" s="33"/>
    </row>
    <row r="279" spans="2:7" x14ac:dyDescent="0.3">
      <c r="B279" s="15"/>
      <c r="C279" s="15"/>
      <c r="D279" s="17"/>
      <c r="E279" s="13"/>
      <c r="F279" s="13">
        <f t="shared" si="4"/>
        <v>0</v>
      </c>
      <c r="G279" s="13"/>
    </row>
    <row r="280" spans="2:7" x14ac:dyDescent="0.3">
      <c r="B280" s="31"/>
      <c r="C280" s="31"/>
      <c r="D280" s="32"/>
      <c r="E280" s="33"/>
      <c r="F280" s="33">
        <f t="shared" si="4"/>
        <v>0</v>
      </c>
      <c r="G280" s="33"/>
    </row>
    <row r="281" spans="2:7" x14ac:dyDescent="0.3">
      <c r="B281" s="15"/>
      <c r="C281" s="21"/>
      <c r="D281" s="22"/>
      <c r="E281" s="23"/>
      <c r="F281" s="23">
        <f t="shared" si="4"/>
        <v>0</v>
      </c>
      <c r="G281" s="13"/>
    </row>
    <row r="282" spans="2:7" x14ac:dyDescent="0.3">
      <c r="B282" s="31"/>
      <c r="C282" s="31"/>
      <c r="D282" s="32"/>
      <c r="E282" s="33"/>
      <c r="F282" s="33">
        <f t="shared" si="4"/>
        <v>0</v>
      </c>
      <c r="G282" s="33"/>
    </row>
    <row r="283" spans="2:7" x14ac:dyDescent="0.3">
      <c r="B283" s="15"/>
      <c r="C283" s="15"/>
      <c r="D283" s="17"/>
      <c r="E283" s="13"/>
      <c r="F283" s="13">
        <f t="shared" si="4"/>
        <v>0</v>
      </c>
      <c r="G283" s="13"/>
    </row>
    <row r="284" spans="2:7" x14ac:dyDescent="0.3">
      <c r="B284" s="31"/>
      <c r="C284" s="31"/>
      <c r="D284" s="32"/>
      <c r="E284" s="33"/>
      <c r="F284" s="33">
        <f t="shared" si="4"/>
        <v>0</v>
      </c>
      <c r="G284" s="33"/>
    </row>
    <row r="285" spans="2:7" x14ac:dyDescent="0.3">
      <c r="B285" s="15"/>
      <c r="C285" s="15"/>
      <c r="D285" s="17"/>
      <c r="E285" s="13"/>
      <c r="F285" s="13">
        <f t="shared" si="4"/>
        <v>0</v>
      </c>
      <c r="G285" s="13"/>
    </row>
    <row r="286" spans="2:7" x14ac:dyDescent="0.3">
      <c r="B286" s="31"/>
      <c r="C286" s="31"/>
      <c r="D286" s="32"/>
      <c r="E286" s="33"/>
      <c r="F286" s="33">
        <f t="shared" si="4"/>
        <v>0</v>
      </c>
      <c r="G286" s="33"/>
    </row>
    <row r="287" spans="2:7" x14ac:dyDescent="0.3">
      <c r="B287" s="15"/>
      <c r="C287" s="21"/>
      <c r="D287" s="22"/>
      <c r="E287" s="23"/>
      <c r="F287" s="23">
        <f t="shared" si="4"/>
        <v>0</v>
      </c>
      <c r="G287" s="13"/>
    </row>
    <row r="288" spans="2:7" x14ac:dyDescent="0.3">
      <c r="B288" s="31"/>
      <c r="C288" s="31"/>
      <c r="D288" s="32"/>
      <c r="E288" s="33"/>
      <c r="F288" s="33">
        <f t="shared" si="4"/>
        <v>0</v>
      </c>
      <c r="G288" s="33"/>
    </row>
    <row r="289" spans="2:7" x14ac:dyDescent="0.3">
      <c r="B289" s="15"/>
      <c r="C289" s="15"/>
      <c r="D289" s="17"/>
      <c r="E289" s="13"/>
      <c r="F289" s="13">
        <f t="shared" si="4"/>
        <v>0</v>
      </c>
      <c r="G289" s="13"/>
    </row>
    <row r="290" spans="2:7" x14ac:dyDescent="0.3">
      <c r="B290" s="31"/>
      <c r="C290" s="31"/>
      <c r="D290" s="32"/>
      <c r="E290" s="33"/>
      <c r="F290" s="33">
        <f t="shared" si="4"/>
        <v>0</v>
      </c>
      <c r="G290" s="33"/>
    </row>
    <row r="291" spans="2:7" x14ac:dyDescent="0.3">
      <c r="B291" s="15"/>
      <c r="C291" s="15"/>
      <c r="D291" s="17"/>
      <c r="E291" s="13"/>
      <c r="F291" s="13">
        <f t="shared" si="4"/>
        <v>0</v>
      </c>
      <c r="G291" s="13"/>
    </row>
    <row r="292" spans="2:7" x14ac:dyDescent="0.3">
      <c r="B292" s="31"/>
      <c r="C292" s="31"/>
      <c r="D292" s="32"/>
      <c r="E292" s="33"/>
      <c r="F292" s="33">
        <f t="shared" si="4"/>
        <v>0</v>
      </c>
      <c r="G292" s="33"/>
    </row>
    <row r="293" spans="2:7" x14ac:dyDescent="0.3">
      <c r="B293" s="15"/>
      <c r="C293" s="21"/>
      <c r="D293" s="22"/>
      <c r="E293" s="23"/>
      <c r="F293" s="23">
        <f t="shared" si="4"/>
        <v>0</v>
      </c>
      <c r="G293" s="13"/>
    </row>
    <row r="294" spans="2:7" x14ac:dyDescent="0.3">
      <c r="B294" s="31"/>
      <c r="C294" s="31"/>
      <c r="D294" s="32"/>
      <c r="E294" s="33"/>
      <c r="F294" s="33">
        <f t="shared" si="4"/>
        <v>0</v>
      </c>
      <c r="G294" s="33"/>
    </row>
    <row r="295" spans="2:7" x14ac:dyDescent="0.3">
      <c r="B295" s="15"/>
      <c r="C295" s="15"/>
      <c r="D295" s="17"/>
      <c r="E295" s="13"/>
      <c r="F295" s="13">
        <f t="shared" si="4"/>
        <v>0</v>
      </c>
      <c r="G295" s="13"/>
    </row>
    <row r="296" spans="2:7" x14ac:dyDescent="0.3">
      <c r="B296" s="31"/>
      <c r="C296" s="31"/>
      <c r="D296" s="32"/>
      <c r="E296" s="33"/>
      <c r="F296" s="33">
        <f t="shared" si="4"/>
        <v>0</v>
      </c>
      <c r="G296" s="33"/>
    </row>
    <row r="297" spans="2:7" x14ac:dyDescent="0.3">
      <c r="B297" s="15"/>
      <c r="C297" s="15"/>
      <c r="D297" s="17"/>
      <c r="E297" s="13"/>
      <c r="F297" s="13">
        <f t="shared" si="4"/>
        <v>0</v>
      </c>
      <c r="G297" s="13"/>
    </row>
    <row r="298" spans="2:7" x14ac:dyDescent="0.3">
      <c r="B298" s="31"/>
      <c r="C298" s="31"/>
      <c r="D298" s="32"/>
      <c r="E298" s="33"/>
      <c r="F298" s="33">
        <f t="shared" si="4"/>
        <v>0</v>
      </c>
      <c r="G298" s="33"/>
    </row>
    <row r="299" spans="2:7" x14ac:dyDescent="0.3">
      <c r="B299" s="15"/>
      <c r="C299" s="21"/>
      <c r="D299" s="22"/>
      <c r="E299" s="23"/>
      <c r="F299" s="23">
        <f t="shared" si="4"/>
        <v>0</v>
      </c>
      <c r="G299" s="13"/>
    </row>
    <row r="300" spans="2:7" x14ac:dyDescent="0.3">
      <c r="B300" s="31"/>
      <c r="C300" s="31"/>
      <c r="D300" s="32"/>
      <c r="E300" s="33"/>
      <c r="F300" s="33">
        <f t="shared" si="4"/>
        <v>0</v>
      </c>
      <c r="G300" s="33"/>
    </row>
    <row r="301" spans="2:7" x14ac:dyDescent="0.3">
      <c r="B301" s="15"/>
      <c r="C301" s="15"/>
      <c r="D301" s="17"/>
      <c r="E301" s="13"/>
      <c r="F301" s="13">
        <f t="shared" si="4"/>
        <v>0</v>
      </c>
      <c r="G301" s="13"/>
    </row>
    <row r="302" spans="2:7" x14ac:dyDescent="0.3">
      <c r="B302" s="31"/>
      <c r="C302" s="31"/>
      <c r="D302" s="32"/>
      <c r="E302" s="33"/>
      <c r="F302" s="33">
        <f t="shared" si="4"/>
        <v>0</v>
      </c>
      <c r="G302" s="33"/>
    </row>
    <row r="303" spans="2:7" x14ac:dyDescent="0.3">
      <c r="B303" s="15"/>
      <c r="C303" s="15"/>
      <c r="D303" s="17"/>
      <c r="E303" s="13"/>
      <c r="F303" s="13">
        <f t="shared" si="4"/>
        <v>0</v>
      </c>
      <c r="G303" s="13"/>
    </row>
    <row r="304" spans="2:7" x14ac:dyDescent="0.3">
      <c r="B304" s="31"/>
      <c r="C304" s="31"/>
      <c r="D304" s="32"/>
      <c r="E304" s="33"/>
      <c r="F304" s="33">
        <f t="shared" si="4"/>
        <v>0</v>
      </c>
      <c r="G304" s="33"/>
    </row>
    <row r="305" spans="2:7" x14ac:dyDescent="0.3">
      <c r="B305" s="15"/>
      <c r="C305" s="21"/>
      <c r="D305" s="22"/>
      <c r="E305" s="23"/>
      <c r="F305" s="23">
        <f t="shared" si="4"/>
        <v>0</v>
      </c>
      <c r="G305" s="13"/>
    </row>
    <row r="306" spans="2:7" x14ac:dyDescent="0.3">
      <c r="B306" s="31"/>
      <c r="C306" s="31"/>
      <c r="D306" s="32"/>
      <c r="E306" s="33"/>
      <c r="F306" s="33">
        <f t="shared" si="4"/>
        <v>0</v>
      </c>
      <c r="G306" s="33"/>
    </row>
    <row r="307" spans="2:7" x14ac:dyDescent="0.3">
      <c r="B307" s="15"/>
      <c r="C307" s="15"/>
      <c r="D307" s="17"/>
      <c r="E307" s="13"/>
      <c r="F307" s="13">
        <f t="shared" si="4"/>
        <v>0</v>
      </c>
      <c r="G307" s="13"/>
    </row>
    <row r="308" spans="2:7" x14ac:dyDescent="0.3">
      <c r="B308" s="31"/>
      <c r="C308" s="31"/>
      <c r="D308" s="32"/>
      <c r="E308" s="33"/>
      <c r="F308" s="33">
        <f t="shared" si="4"/>
        <v>0</v>
      </c>
      <c r="G308" s="33"/>
    </row>
    <row r="309" spans="2:7" x14ac:dyDescent="0.3">
      <c r="B309" s="15"/>
      <c r="C309" s="15"/>
      <c r="D309" s="17"/>
      <c r="E309" s="13"/>
      <c r="F309" s="13">
        <f t="shared" si="4"/>
        <v>0</v>
      </c>
      <c r="G309" s="13"/>
    </row>
    <row r="310" spans="2:7" x14ac:dyDescent="0.3">
      <c r="B310" s="31"/>
      <c r="C310" s="31"/>
      <c r="D310" s="32"/>
      <c r="E310" s="33"/>
      <c r="F310" s="33">
        <f t="shared" si="4"/>
        <v>0</v>
      </c>
      <c r="G310" s="33"/>
    </row>
    <row r="311" spans="2:7" x14ac:dyDescent="0.3">
      <c r="B311" s="15"/>
      <c r="C311" s="21"/>
      <c r="D311" s="22"/>
      <c r="E311" s="23"/>
      <c r="F311" s="23">
        <f t="shared" si="4"/>
        <v>0</v>
      </c>
      <c r="G311" s="13"/>
    </row>
    <row r="312" spans="2:7" x14ac:dyDescent="0.3">
      <c r="B312" s="31"/>
      <c r="C312" s="31"/>
      <c r="D312" s="32"/>
      <c r="E312" s="33"/>
      <c r="F312" s="33">
        <f t="shared" si="4"/>
        <v>0</v>
      </c>
      <c r="G312" s="33"/>
    </row>
    <row r="313" spans="2:7" x14ac:dyDescent="0.3">
      <c r="B313" s="15"/>
      <c r="C313" s="15"/>
      <c r="D313" s="17"/>
      <c r="E313" s="13"/>
      <c r="F313" s="13">
        <f t="shared" si="4"/>
        <v>0</v>
      </c>
      <c r="G313" s="13"/>
    </row>
    <row r="314" spans="2:7" x14ac:dyDescent="0.3">
      <c r="B314" s="31"/>
      <c r="C314" s="31"/>
      <c r="D314" s="32"/>
      <c r="E314" s="33"/>
      <c r="F314" s="33">
        <f t="shared" si="4"/>
        <v>0</v>
      </c>
      <c r="G314" s="33"/>
    </row>
    <row r="315" spans="2:7" x14ac:dyDescent="0.3">
      <c r="B315" s="15"/>
      <c r="C315" s="15"/>
      <c r="D315" s="17"/>
      <c r="E315" s="13"/>
      <c r="F315" s="13">
        <f t="shared" si="4"/>
        <v>0</v>
      </c>
      <c r="G315" s="13"/>
    </row>
    <row r="316" spans="2:7" x14ac:dyDescent="0.3">
      <c r="B316" s="31"/>
      <c r="C316" s="31"/>
      <c r="D316" s="32"/>
      <c r="E316" s="33"/>
      <c r="F316" s="33">
        <f t="shared" si="4"/>
        <v>0</v>
      </c>
      <c r="G316" s="33"/>
    </row>
    <row r="317" spans="2:7" x14ac:dyDescent="0.3">
      <c r="B317" s="15"/>
      <c r="C317" s="21"/>
      <c r="D317" s="22"/>
      <c r="E317" s="23"/>
      <c r="F317" s="23">
        <f t="shared" si="4"/>
        <v>0</v>
      </c>
      <c r="G317" s="13"/>
    </row>
    <row r="318" spans="2:7" x14ac:dyDescent="0.3">
      <c r="B318" s="31"/>
      <c r="C318" s="31"/>
      <c r="D318" s="32"/>
      <c r="E318" s="33"/>
      <c r="F318" s="33">
        <f t="shared" si="4"/>
        <v>0</v>
      </c>
      <c r="G318" s="33"/>
    </row>
    <row r="319" spans="2:7" x14ac:dyDescent="0.3">
      <c r="B319" s="15"/>
      <c r="C319" s="15"/>
      <c r="D319" s="17"/>
      <c r="E319" s="13"/>
      <c r="F319" s="13">
        <f t="shared" si="4"/>
        <v>0</v>
      </c>
      <c r="G319" s="13"/>
    </row>
    <row r="320" spans="2:7" x14ac:dyDescent="0.3">
      <c r="B320" s="31"/>
      <c r="C320" s="31"/>
      <c r="D320" s="32"/>
      <c r="E320" s="33"/>
      <c r="F320" s="33">
        <f t="shared" si="4"/>
        <v>0</v>
      </c>
      <c r="G320" s="33"/>
    </row>
    <row r="321" spans="2:7" x14ac:dyDescent="0.3">
      <c r="B321" s="15"/>
      <c r="C321" s="15"/>
      <c r="D321" s="17"/>
      <c r="E321" s="13"/>
      <c r="F321" s="13">
        <f t="shared" si="4"/>
        <v>0</v>
      </c>
      <c r="G321" s="13"/>
    </row>
    <row r="322" spans="2:7" x14ac:dyDescent="0.3">
      <c r="B322" s="31"/>
      <c r="C322" s="31"/>
      <c r="D322" s="32"/>
      <c r="E322" s="33"/>
      <c r="F322" s="33">
        <f t="shared" si="4"/>
        <v>0</v>
      </c>
      <c r="G322" s="33"/>
    </row>
    <row r="323" spans="2:7" x14ac:dyDescent="0.3">
      <c r="B323" s="15"/>
      <c r="C323" s="21"/>
      <c r="D323" s="22"/>
      <c r="E323" s="23"/>
      <c r="F323" s="23">
        <f t="shared" si="4"/>
        <v>0</v>
      </c>
      <c r="G323" s="13"/>
    </row>
    <row r="324" spans="2:7" x14ac:dyDescent="0.3">
      <c r="B324" s="31"/>
      <c r="C324" s="31"/>
      <c r="D324" s="32"/>
      <c r="E324" s="33"/>
      <c r="F324" s="33">
        <f t="shared" si="4"/>
        <v>0</v>
      </c>
      <c r="G324" s="33"/>
    </row>
    <row r="325" spans="2:7" x14ac:dyDescent="0.3">
      <c r="B325" s="15"/>
      <c r="C325" s="15"/>
      <c r="D325" s="17"/>
      <c r="E325" s="13"/>
      <c r="F325" s="13">
        <f t="shared" si="4"/>
        <v>0</v>
      </c>
      <c r="G325" s="13"/>
    </row>
    <row r="326" spans="2:7" x14ac:dyDescent="0.3">
      <c r="B326" s="31"/>
      <c r="C326" s="31"/>
      <c r="D326" s="32"/>
      <c r="E326" s="33"/>
      <c r="F326" s="33">
        <f t="shared" si="4"/>
        <v>0</v>
      </c>
      <c r="G326" s="33"/>
    </row>
    <row r="327" spans="2:7" x14ac:dyDescent="0.3">
      <c r="B327" s="15"/>
      <c r="C327" s="15"/>
      <c r="D327" s="17"/>
      <c r="E327" s="13"/>
      <c r="F327" s="13">
        <f t="shared" ref="F327:F390" si="5">E327*C327</f>
        <v>0</v>
      </c>
      <c r="G327" s="13"/>
    </row>
    <row r="328" spans="2:7" x14ac:dyDescent="0.3">
      <c r="B328" s="31"/>
      <c r="C328" s="31"/>
      <c r="D328" s="32"/>
      <c r="E328" s="33"/>
      <c r="F328" s="33">
        <f t="shared" si="5"/>
        <v>0</v>
      </c>
      <c r="G328" s="33"/>
    </row>
    <row r="329" spans="2:7" x14ac:dyDescent="0.3">
      <c r="B329" s="15"/>
      <c r="C329" s="21"/>
      <c r="D329" s="22"/>
      <c r="E329" s="23"/>
      <c r="F329" s="23">
        <f t="shared" si="5"/>
        <v>0</v>
      </c>
      <c r="G329" s="13"/>
    </row>
    <row r="330" spans="2:7" x14ac:dyDescent="0.3">
      <c r="B330" s="31"/>
      <c r="C330" s="31"/>
      <c r="D330" s="32"/>
      <c r="E330" s="33"/>
      <c r="F330" s="33">
        <f t="shared" si="5"/>
        <v>0</v>
      </c>
      <c r="G330" s="33"/>
    </row>
    <row r="331" spans="2:7" x14ac:dyDescent="0.3">
      <c r="B331" s="15"/>
      <c r="C331" s="15"/>
      <c r="D331" s="17"/>
      <c r="E331" s="13"/>
      <c r="F331" s="13">
        <f t="shared" si="5"/>
        <v>0</v>
      </c>
      <c r="G331" s="13"/>
    </row>
    <row r="332" spans="2:7" x14ac:dyDescent="0.3">
      <c r="B332" s="31"/>
      <c r="C332" s="31"/>
      <c r="D332" s="32"/>
      <c r="E332" s="33"/>
      <c r="F332" s="33">
        <f t="shared" si="5"/>
        <v>0</v>
      </c>
      <c r="G332" s="33"/>
    </row>
    <row r="333" spans="2:7" x14ac:dyDescent="0.3">
      <c r="B333" s="15"/>
      <c r="C333" s="15"/>
      <c r="D333" s="17"/>
      <c r="E333" s="13"/>
      <c r="F333" s="13">
        <f t="shared" si="5"/>
        <v>0</v>
      </c>
      <c r="G333" s="13"/>
    </row>
    <row r="334" spans="2:7" x14ac:dyDescent="0.3">
      <c r="B334" s="31"/>
      <c r="C334" s="31"/>
      <c r="D334" s="32"/>
      <c r="E334" s="33"/>
      <c r="F334" s="33">
        <f t="shared" si="5"/>
        <v>0</v>
      </c>
      <c r="G334" s="33"/>
    </row>
    <row r="335" spans="2:7" x14ac:dyDescent="0.3">
      <c r="B335" s="15"/>
      <c r="C335" s="21"/>
      <c r="D335" s="22"/>
      <c r="E335" s="23"/>
      <c r="F335" s="23">
        <f t="shared" si="5"/>
        <v>0</v>
      </c>
      <c r="G335" s="13"/>
    </row>
    <row r="336" spans="2:7" x14ac:dyDescent="0.3">
      <c r="B336" s="31"/>
      <c r="C336" s="31"/>
      <c r="D336" s="32"/>
      <c r="E336" s="33"/>
      <c r="F336" s="33">
        <f t="shared" si="5"/>
        <v>0</v>
      </c>
      <c r="G336" s="33"/>
    </row>
    <row r="337" spans="2:7" x14ac:dyDescent="0.3">
      <c r="B337" s="15"/>
      <c r="C337" s="15"/>
      <c r="D337" s="17"/>
      <c r="E337" s="13"/>
      <c r="F337" s="13">
        <f t="shared" si="5"/>
        <v>0</v>
      </c>
      <c r="G337" s="13"/>
    </row>
    <row r="338" spans="2:7" x14ac:dyDescent="0.3">
      <c r="B338" s="31"/>
      <c r="C338" s="31"/>
      <c r="D338" s="32"/>
      <c r="E338" s="33"/>
      <c r="F338" s="33">
        <f t="shared" si="5"/>
        <v>0</v>
      </c>
      <c r="G338" s="33"/>
    </row>
    <row r="339" spans="2:7" x14ac:dyDescent="0.3">
      <c r="B339" s="15"/>
      <c r="C339" s="15"/>
      <c r="D339" s="17"/>
      <c r="E339" s="13"/>
      <c r="F339" s="13">
        <f t="shared" si="5"/>
        <v>0</v>
      </c>
      <c r="G339" s="13"/>
    </row>
    <row r="340" spans="2:7" x14ac:dyDescent="0.3">
      <c r="B340" s="31"/>
      <c r="C340" s="31"/>
      <c r="D340" s="32"/>
      <c r="E340" s="33"/>
      <c r="F340" s="33">
        <f t="shared" si="5"/>
        <v>0</v>
      </c>
      <c r="G340" s="33"/>
    </row>
    <row r="341" spans="2:7" x14ac:dyDescent="0.3">
      <c r="B341" s="15"/>
      <c r="C341" s="21"/>
      <c r="D341" s="22"/>
      <c r="E341" s="23"/>
      <c r="F341" s="23">
        <f t="shared" si="5"/>
        <v>0</v>
      </c>
      <c r="G341" s="13"/>
    </row>
    <row r="342" spans="2:7" x14ac:dyDescent="0.3">
      <c r="B342" s="31"/>
      <c r="C342" s="31"/>
      <c r="D342" s="32"/>
      <c r="E342" s="33"/>
      <c r="F342" s="33">
        <f t="shared" si="5"/>
        <v>0</v>
      </c>
      <c r="G342" s="33"/>
    </row>
    <row r="343" spans="2:7" x14ac:dyDescent="0.3">
      <c r="B343" s="15"/>
      <c r="C343" s="15"/>
      <c r="D343" s="17"/>
      <c r="E343" s="13"/>
      <c r="F343" s="13">
        <f t="shared" si="5"/>
        <v>0</v>
      </c>
      <c r="G343" s="13"/>
    </row>
    <row r="344" spans="2:7" x14ac:dyDescent="0.3">
      <c r="B344" s="31"/>
      <c r="C344" s="31"/>
      <c r="D344" s="32"/>
      <c r="E344" s="33"/>
      <c r="F344" s="33">
        <f t="shared" si="5"/>
        <v>0</v>
      </c>
      <c r="G344" s="33"/>
    </row>
    <row r="345" spans="2:7" x14ac:dyDescent="0.3">
      <c r="B345" s="15"/>
      <c r="C345" s="15"/>
      <c r="D345" s="17"/>
      <c r="E345" s="13"/>
      <c r="F345" s="13">
        <f t="shared" si="5"/>
        <v>0</v>
      </c>
      <c r="G345" s="13"/>
    </row>
    <row r="346" spans="2:7" x14ac:dyDescent="0.3">
      <c r="B346" s="31"/>
      <c r="C346" s="31"/>
      <c r="D346" s="32"/>
      <c r="E346" s="33"/>
      <c r="F346" s="33">
        <f t="shared" si="5"/>
        <v>0</v>
      </c>
      <c r="G346" s="33"/>
    </row>
    <row r="347" spans="2:7" x14ac:dyDescent="0.3">
      <c r="B347" s="15"/>
      <c r="C347" s="21"/>
      <c r="D347" s="22"/>
      <c r="E347" s="23"/>
      <c r="F347" s="23">
        <f t="shared" si="5"/>
        <v>0</v>
      </c>
      <c r="G347" s="13"/>
    </row>
    <row r="348" spans="2:7" x14ac:dyDescent="0.3">
      <c r="B348" s="31"/>
      <c r="C348" s="31"/>
      <c r="D348" s="32"/>
      <c r="E348" s="33"/>
      <c r="F348" s="33">
        <f t="shared" si="5"/>
        <v>0</v>
      </c>
      <c r="G348" s="33"/>
    </row>
    <row r="349" spans="2:7" x14ac:dyDescent="0.3">
      <c r="B349" s="15"/>
      <c r="C349" s="15"/>
      <c r="D349" s="17"/>
      <c r="E349" s="13"/>
      <c r="F349" s="13">
        <f t="shared" si="5"/>
        <v>0</v>
      </c>
      <c r="G349" s="13"/>
    </row>
    <row r="350" spans="2:7" x14ac:dyDescent="0.3">
      <c r="B350" s="31"/>
      <c r="C350" s="31"/>
      <c r="D350" s="32"/>
      <c r="E350" s="33"/>
      <c r="F350" s="33">
        <f t="shared" si="5"/>
        <v>0</v>
      </c>
      <c r="G350" s="33"/>
    </row>
    <row r="351" spans="2:7" x14ac:dyDescent="0.3">
      <c r="B351" s="15"/>
      <c r="C351" s="15"/>
      <c r="D351" s="17"/>
      <c r="E351" s="13"/>
      <c r="F351" s="13">
        <f t="shared" si="5"/>
        <v>0</v>
      </c>
      <c r="G351" s="13"/>
    </row>
    <row r="352" spans="2:7" x14ac:dyDescent="0.3">
      <c r="B352" s="31"/>
      <c r="C352" s="31"/>
      <c r="D352" s="32"/>
      <c r="E352" s="33"/>
      <c r="F352" s="33">
        <f t="shared" si="5"/>
        <v>0</v>
      </c>
      <c r="G352" s="33"/>
    </row>
    <row r="353" spans="2:7" x14ac:dyDescent="0.3">
      <c r="B353" s="15"/>
      <c r="C353" s="21"/>
      <c r="D353" s="22"/>
      <c r="E353" s="23"/>
      <c r="F353" s="23">
        <f t="shared" si="5"/>
        <v>0</v>
      </c>
      <c r="G353" s="13"/>
    </row>
    <row r="354" spans="2:7" x14ac:dyDescent="0.3">
      <c r="B354" s="31"/>
      <c r="C354" s="31"/>
      <c r="D354" s="32"/>
      <c r="E354" s="33"/>
      <c r="F354" s="33">
        <f t="shared" si="5"/>
        <v>0</v>
      </c>
      <c r="G354" s="33"/>
    </row>
    <row r="355" spans="2:7" x14ac:dyDescent="0.3">
      <c r="B355" s="15"/>
      <c r="C355" s="15"/>
      <c r="D355" s="17"/>
      <c r="E355" s="13"/>
      <c r="F355" s="13">
        <f t="shared" si="5"/>
        <v>0</v>
      </c>
      <c r="G355" s="13"/>
    </row>
    <row r="356" spans="2:7" x14ac:dyDescent="0.3">
      <c r="B356" s="31"/>
      <c r="C356" s="31"/>
      <c r="D356" s="32"/>
      <c r="E356" s="33"/>
      <c r="F356" s="33">
        <f t="shared" si="5"/>
        <v>0</v>
      </c>
      <c r="G356" s="33"/>
    </row>
    <row r="357" spans="2:7" x14ac:dyDescent="0.3">
      <c r="B357" s="15"/>
      <c r="C357" s="15"/>
      <c r="D357" s="17"/>
      <c r="E357" s="13"/>
      <c r="F357" s="13">
        <f t="shared" si="5"/>
        <v>0</v>
      </c>
      <c r="G357" s="13"/>
    </row>
    <row r="358" spans="2:7" x14ac:dyDescent="0.3">
      <c r="B358" s="31"/>
      <c r="C358" s="31"/>
      <c r="D358" s="32"/>
      <c r="E358" s="33"/>
      <c r="F358" s="33">
        <f t="shared" si="5"/>
        <v>0</v>
      </c>
      <c r="G358" s="33"/>
    </row>
    <row r="359" spans="2:7" x14ac:dyDescent="0.3">
      <c r="B359" s="15"/>
      <c r="C359" s="21"/>
      <c r="D359" s="22"/>
      <c r="E359" s="23"/>
      <c r="F359" s="23">
        <f t="shared" si="5"/>
        <v>0</v>
      </c>
      <c r="G359" s="13"/>
    </row>
    <row r="360" spans="2:7" x14ac:dyDescent="0.3">
      <c r="B360" s="31"/>
      <c r="C360" s="31"/>
      <c r="D360" s="32"/>
      <c r="E360" s="33"/>
      <c r="F360" s="33">
        <f t="shared" si="5"/>
        <v>0</v>
      </c>
      <c r="G360" s="33"/>
    </row>
    <row r="361" spans="2:7" x14ac:dyDescent="0.3">
      <c r="B361" s="15"/>
      <c r="C361" s="15"/>
      <c r="D361" s="17"/>
      <c r="E361" s="13"/>
      <c r="F361" s="13">
        <f t="shared" si="5"/>
        <v>0</v>
      </c>
      <c r="G361" s="13"/>
    </row>
    <row r="362" spans="2:7" x14ac:dyDescent="0.3">
      <c r="B362" s="31"/>
      <c r="C362" s="31"/>
      <c r="D362" s="32"/>
      <c r="E362" s="33"/>
      <c r="F362" s="33">
        <f t="shared" si="5"/>
        <v>0</v>
      </c>
      <c r="G362" s="33"/>
    </row>
    <row r="363" spans="2:7" x14ac:dyDescent="0.3">
      <c r="B363" s="15"/>
      <c r="C363" s="15"/>
      <c r="D363" s="17"/>
      <c r="E363" s="13"/>
      <c r="F363" s="13">
        <f t="shared" si="5"/>
        <v>0</v>
      </c>
      <c r="G363" s="13"/>
    </row>
    <row r="364" spans="2:7" x14ac:dyDescent="0.3">
      <c r="B364" s="31"/>
      <c r="C364" s="31"/>
      <c r="D364" s="32"/>
      <c r="E364" s="33"/>
      <c r="F364" s="33">
        <f t="shared" si="5"/>
        <v>0</v>
      </c>
      <c r="G364" s="33"/>
    </row>
    <row r="365" spans="2:7" x14ac:dyDescent="0.3">
      <c r="B365" s="15"/>
      <c r="C365" s="21"/>
      <c r="D365" s="22"/>
      <c r="E365" s="23"/>
      <c r="F365" s="23">
        <f t="shared" si="5"/>
        <v>0</v>
      </c>
      <c r="G365" s="13"/>
    </row>
    <row r="366" spans="2:7" x14ac:dyDescent="0.3">
      <c r="B366" s="31"/>
      <c r="C366" s="31"/>
      <c r="D366" s="32"/>
      <c r="E366" s="33"/>
      <c r="F366" s="33">
        <f t="shared" si="5"/>
        <v>0</v>
      </c>
      <c r="G366" s="33"/>
    </row>
    <row r="367" spans="2:7" x14ac:dyDescent="0.3">
      <c r="B367" s="15"/>
      <c r="C367" s="15"/>
      <c r="D367" s="17"/>
      <c r="E367" s="13"/>
      <c r="F367" s="13">
        <f t="shared" si="5"/>
        <v>0</v>
      </c>
      <c r="G367" s="13"/>
    </row>
    <row r="368" spans="2:7" x14ac:dyDescent="0.3">
      <c r="B368" s="31"/>
      <c r="C368" s="31"/>
      <c r="D368" s="32"/>
      <c r="E368" s="33"/>
      <c r="F368" s="33">
        <f t="shared" si="5"/>
        <v>0</v>
      </c>
      <c r="G368" s="33"/>
    </row>
    <row r="369" spans="2:7" x14ac:dyDescent="0.3">
      <c r="B369" s="15"/>
      <c r="C369" s="15"/>
      <c r="D369" s="17"/>
      <c r="E369" s="13"/>
      <c r="F369" s="13">
        <f t="shared" si="5"/>
        <v>0</v>
      </c>
      <c r="G369" s="13"/>
    </row>
    <row r="370" spans="2:7" x14ac:dyDescent="0.3">
      <c r="B370" s="31"/>
      <c r="C370" s="31"/>
      <c r="D370" s="32"/>
      <c r="E370" s="33"/>
      <c r="F370" s="33">
        <f t="shared" si="5"/>
        <v>0</v>
      </c>
      <c r="G370" s="33"/>
    </row>
    <row r="371" spans="2:7" x14ac:dyDescent="0.3">
      <c r="B371" s="15"/>
      <c r="C371" s="21"/>
      <c r="D371" s="22"/>
      <c r="E371" s="23"/>
      <c r="F371" s="23">
        <f t="shared" si="5"/>
        <v>0</v>
      </c>
      <c r="G371" s="13"/>
    </row>
    <row r="372" spans="2:7" x14ac:dyDescent="0.3">
      <c r="B372" s="31"/>
      <c r="C372" s="31"/>
      <c r="D372" s="32"/>
      <c r="E372" s="33"/>
      <c r="F372" s="33">
        <f t="shared" si="5"/>
        <v>0</v>
      </c>
      <c r="G372" s="33"/>
    </row>
    <row r="373" spans="2:7" x14ac:dyDescent="0.3">
      <c r="B373" s="15"/>
      <c r="C373" s="15"/>
      <c r="D373" s="17"/>
      <c r="E373" s="13"/>
      <c r="F373" s="13">
        <f t="shared" si="5"/>
        <v>0</v>
      </c>
      <c r="G373" s="13"/>
    </row>
    <row r="374" spans="2:7" x14ac:dyDescent="0.3">
      <c r="B374" s="31"/>
      <c r="C374" s="31"/>
      <c r="D374" s="32"/>
      <c r="E374" s="33"/>
      <c r="F374" s="33">
        <f t="shared" si="5"/>
        <v>0</v>
      </c>
      <c r="G374" s="33"/>
    </row>
    <row r="375" spans="2:7" x14ac:dyDescent="0.3">
      <c r="B375" s="15"/>
      <c r="C375" s="15"/>
      <c r="D375" s="17"/>
      <c r="E375" s="13"/>
      <c r="F375" s="13">
        <f t="shared" si="5"/>
        <v>0</v>
      </c>
      <c r="G375" s="13"/>
    </row>
    <row r="376" spans="2:7" x14ac:dyDescent="0.3">
      <c r="B376" s="31"/>
      <c r="C376" s="31"/>
      <c r="D376" s="32"/>
      <c r="E376" s="33"/>
      <c r="F376" s="33">
        <f t="shared" si="5"/>
        <v>0</v>
      </c>
      <c r="G376" s="33"/>
    </row>
    <row r="377" spans="2:7" x14ac:dyDescent="0.3">
      <c r="B377" s="15"/>
      <c r="C377" s="21"/>
      <c r="D377" s="22"/>
      <c r="E377" s="23"/>
      <c r="F377" s="23">
        <f t="shared" si="5"/>
        <v>0</v>
      </c>
      <c r="G377" s="13"/>
    </row>
    <row r="378" spans="2:7" x14ac:dyDescent="0.3">
      <c r="B378" s="31"/>
      <c r="C378" s="31"/>
      <c r="D378" s="32"/>
      <c r="E378" s="33"/>
      <c r="F378" s="33">
        <f t="shared" si="5"/>
        <v>0</v>
      </c>
      <c r="G378" s="33"/>
    </row>
    <row r="379" spans="2:7" x14ac:dyDescent="0.3">
      <c r="B379" s="15"/>
      <c r="C379" s="15"/>
      <c r="D379" s="17"/>
      <c r="E379" s="13"/>
      <c r="F379" s="13">
        <f t="shared" si="5"/>
        <v>0</v>
      </c>
      <c r="G379" s="13"/>
    </row>
    <row r="380" spans="2:7" x14ac:dyDescent="0.3">
      <c r="B380" s="31"/>
      <c r="C380" s="31"/>
      <c r="D380" s="32"/>
      <c r="E380" s="33"/>
      <c r="F380" s="33">
        <f t="shared" si="5"/>
        <v>0</v>
      </c>
      <c r="G380" s="33"/>
    </row>
    <row r="381" spans="2:7" x14ac:dyDescent="0.3">
      <c r="B381" s="15"/>
      <c r="C381" s="15"/>
      <c r="D381" s="17"/>
      <c r="E381" s="13"/>
      <c r="F381" s="13">
        <f t="shared" si="5"/>
        <v>0</v>
      </c>
      <c r="G381" s="13"/>
    </row>
    <row r="382" spans="2:7" x14ac:dyDescent="0.3">
      <c r="B382" s="31"/>
      <c r="C382" s="31"/>
      <c r="D382" s="32"/>
      <c r="E382" s="33"/>
      <c r="F382" s="33">
        <f t="shared" si="5"/>
        <v>0</v>
      </c>
      <c r="G382" s="33"/>
    </row>
    <row r="383" spans="2:7" x14ac:dyDescent="0.3">
      <c r="B383" s="15"/>
      <c r="C383" s="21"/>
      <c r="D383" s="22"/>
      <c r="E383" s="23"/>
      <c r="F383" s="23">
        <f t="shared" si="5"/>
        <v>0</v>
      </c>
      <c r="G383" s="13"/>
    </row>
    <row r="384" spans="2:7" x14ac:dyDescent="0.3">
      <c r="B384" s="31"/>
      <c r="C384" s="31"/>
      <c r="D384" s="32"/>
      <c r="E384" s="33"/>
      <c r="F384" s="33">
        <f t="shared" si="5"/>
        <v>0</v>
      </c>
      <c r="G384" s="33"/>
    </row>
    <row r="385" spans="2:7" x14ac:dyDescent="0.3">
      <c r="B385" s="15"/>
      <c r="C385" s="15"/>
      <c r="D385" s="17"/>
      <c r="E385" s="13"/>
      <c r="F385" s="13">
        <f t="shared" si="5"/>
        <v>0</v>
      </c>
      <c r="G385" s="13"/>
    </row>
    <row r="386" spans="2:7" x14ac:dyDescent="0.3">
      <c r="B386" s="31"/>
      <c r="C386" s="31"/>
      <c r="D386" s="32"/>
      <c r="E386" s="33"/>
      <c r="F386" s="33">
        <f t="shared" si="5"/>
        <v>0</v>
      </c>
      <c r="G386" s="33"/>
    </row>
    <row r="387" spans="2:7" x14ac:dyDescent="0.3">
      <c r="B387" s="15"/>
      <c r="C387" s="15"/>
      <c r="D387" s="17"/>
      <c r="E387" s="13"/>
      <c r="F387" s="13">
        <f t="shared" si="5"/>
        <v>0</v>
      </c>
      <c r="G387" s="13"/>
    </row>
    <row r="388" spans="2:7" x14ac:dyDescent="0.3">
      <c r="B388" s="31"/>
      <c r="C388" s="31"/>
      <c r="D388" s="32"/>
      <c r="E388" s="33"/>
      <c r="F388" s="33">
        <f t="shared" si="5"/>
        <v>0</v>
      </c>
      <c r="G388" s="33"/>
    </row>
    <row r="389" spans="2:7" x14ac:dyDescent="0.3">
      <c r="B389" s="15"/>
      <c r="C389" s="21"/>
      <c r="D389" s="22"/>
      <c r="E389" s="23"/>
      <c r="F389" s="23">
        <f t="shared" si="5"/>
        <v>0</v>
      </c>
      <c r="G389" s="13"/>
    </row>
    <row r="390" spans="2:7" x14ac:dyDescent="0.3">
      <c r="B390" s="31"/>
      <c r="C390" s="31"/>
      <c r="D390" s="32"/>
      <c r="E390" s="33"/>
      <c r="F390" s="33">
        <f t="shared" si="5"/>
        <v>0</v>
      </c>
      <c r="G390" s="33"/>
    </row>
    <row r="391" spans="2:7" x14ac:dyDescent="0.3">
      <c r="B391" s="15"/>
      <c r="C391" s="15"/>
      <c r="D391" s="17"/>
      <c r="E391" s="13"/>
      <c r="F391" s="13">
        <f t="shared" ref="F391:F396" si="6">E391*C391</f>
        <v>0</v>
      </c>
      <c r="G391" s="13"/>
    </row>
    <row r="392" spans="2:7" x14ac:dyDescent="0.3">
      <c r="B392" s="31"/>
      <c r="C392" s="31"/>
      <c r="D392" s="32"/>
      <c r="E392" s="33"/>
      <c r="F392" s="33">
        <f t="shared" si="6"/>
        <v>0</v>
      </c>
      <c r="G392" s="33"/>
    </row>
    <row r="393" spans="2:7" x14ac:dyDescent="0.3">
      <c r="B393" s="15"/>
      <c r="C393" s="15"/>
      <c r="D393" s="17"/>
      <c r="E393" s="13"/>
      <c r="F393" s="13">
        <f t="shared" si="6"/>
        <v>0</v>
      </c>
      <c r="G393" s="13"/>
    </row>
    <row r="394" spans="2:7" x14ac:dyDescent="0.3">
      <c r="B394" s="31"/>
      <c r="C394" s="31"/>
      <c r="D394" s="32"/>
      <c r="E394" s="33"/>
      <c r="F394" s="33">
        <f t="shared" si="6"/>
        <v>0</v>
      </c>
      <c r="G394" s="33"/>
    </row>
    <row r="395" spans="2:7" x14ac:dyDescent="0.3">
      <c r="B395" s="15"/>
      <c r="C395" s="21"/>
      <c r="D395" s="22"/>
      <c r="E395" s="23"/>
      <c r="F395" s="23">
        <f t="shared" si="6"/>
        <v>0</v>
      </c>
      <c r="G395" s="13"/>
    </row>
    <row r="396" spans="2:7" x14ac:dyDescent="0.3">
      <c r="B396" s="31"/>
      <c r="C396" s="31"/>
      <c r="D396" s="32"/>
      <c r="E396" s="33"/>
      <c r="F396" s="33">
        <f t="shared" si="6"/>
        <v>0</v>
      </c>
      <c r="G396" s="33"/>
    </row>
    <row r="397" spans="2:7" x14ac:dyDescent="0.3">
      <c r="B397" s="15"/>
      <c r="C397" s="15"/>
      <c r="D397" s="17"/>
      <c r="E397" s="13"/>
      <c r="F397" s="13"/>
      <c r="G397" s="13"/>
    </row>
    <row r="398" spans="2:7" x14ac:dyDescent="0.3">
      <c r="B398" s="31"/>
      <c r="C398" s="31"/>
      <c r="D398" s="32"/>
      <c r="E398" s="33"/>
      <c r="F398" s="33"/>
      <c r="G398" s="33"/>
    </row>
    <row r="401" spans="2:8" x14ac:dyDescent="0.3">
      <c r="B401" s="16">
        <f>SUM(B4:B400)</f>
        <v>0</v>
      </c>
      <c r="F401" s="14">
        <f>SUM(F6:F400)</f>
        <v>0</v>
      </c>
      <c r="G401" s="14">
        <f>SUM(G4:G400)</f>
        <v>0</v>
      </c>
    </row>
    <row r="403" spans="2:8" x14ac:dyDescent="0.3">
      <c r="D403" s="84" t="s">
        <v>53</v>
      </c>
      <c r="E403" s="29">
        <v>0.1</v>
      </c>
    </row>
    <row r="404" spans="2:8" x14ac:dyDescent="0.3">
      <c r="D404" s="36" t="s">
        <v>18</v>
      </c>
      <c r="E404" s="33">
        <v>110</v>
      </c>
    </row>
    <row r="405" spans="2:8" x14ac:dyDescent="0.3">
      <c r="D405" s="24" t="s">
        <v>19</v>
      </c>
      <c r="E405" s="30">
        <v>0.4</v>
      </c>
    </row>
    <row r="406" spans="2:8" x14ac:dyDescent="0.3">
      <c r="D406" s="36" t="s">
        <v>23</v>
      </c>
      <c r="E406" s="34">
        <v>0.2</v>
      </c>
      <c r="G406" s="86"/>
    </row>
    <row r="407" spans="2:8" x14ac:dyDescent="0.3">
      <c r="F407" s="27"/>
    </row>
    <row r="408" spans="2:8" x14ac:dyDescent="0.3">
      <c r="F408" s="27"/>
    </row>
    <row r="409" spans="2:8" x14ac:dyDescent="0.3">
      <c r="D409" s="85" t="s">
        <v>52</v>
      </c>
      <c r="E409" s="91">
        <v>6.6250000000000003E-2</v>
      </c>
      <c r="F409" s="27"/>
      <c r="G409" s="41" t="s">
        <v>55</v>
      </c>
      <c r="H409" s="41" t="s">
        <v>45</v>
      </c>
    </row>
    <row r="410" spans="2:8" x14ac:dyDescent="0.3">
      <c r="D410" s="39" t="s">
        <v>54</v>
      </c>
      <c r="E410" s="40">
        <f>F401*E409</f>
        <v>0</v>
      </c>
      <c r="F410" s="27"/>
      <c r="G410" s="87" t="s">
        <v>56</v>
      </c>
      <c r="H410" s="89">
        <v>6.6250000000000003E-2</v>
      </c>
    </row>
    <row r="411" spans="2:8" x14ac:dyDescent="0.3">
      <c r="F411" s="27"/>
      <c r="G411" s="88" t="s">
        <v>57</v>
      </c>
      <c r="H411" s="90">
        <v>8.8749999999999996E-2</v>
      </c>
    </row>
    <row r="412" spans="2:8" x14ac:dyDescent="0.3">
      <c r="F412" s="27"/>
    </row>
    <row r="413" spans="2:8" x14ac:dyDescent="0.3">
      <c r="D413" s="37" t="s">
        <v>17</v>
      </c>
      <c r="E413" s="28">
        <f>F401*(1+E403)</f>
        <v>0</v>
      </c>
    </row>
    <row r="414" spans="2:8" x14ac:dyDescent="0.3">
      <c r="D414" s="36" t="s">
        <v>20</v>
      </c>
      <c r="E414" s="35">
        <f>B401*E404</f>
        <v>0</v>
      </c>
    </row>
    <row r="415" spans="2:8" x14ac:dyDescent="0.3">
      <c r="D415" s="37" t="s">
        <v>21</v>
      </c>
      <c r="E415" s="28">
        <f>E414*E405</f>
        <v>0</v>
      </c>
    </row>
    <row r="416" spans="2:8" x14ac:dyDescent="0.3">
      <c r="D416" s="38" t="s">
        <v>22</v>
      </c>
      <c r="E416" s="35">
        <f>E414*E406</f>
        <v>0</v>
      </c>
    </row>
    <row r="417" spans="4:8" x14ac:dyDescent="0.3">
      <c r="D417" s="39" t="s">
        <v>28</v>
      </c>
      <c r="E417" s="40">
        <f>SUM(E413:E416)</f>
        <v>0</v>
      </c>
    </row>
    <row r="420" spans="4:8" x14ac:dyDescent="0.3">
      <c r="D420" s="24" t="s">
        <v>24</v>
      </c>
      <c r="E420" s="44">
        <v>0.4</v>
      </c>
    </row>
    <row r="421" spans="4:8" x14ac:dyDescent="0.3">
      <c r="D421" s="39" t="s">
        <v>25</v>
      </c>
      <c r="E421" s="41">
        <f>E417*(1+E420)</f>
        <v>0</v>
      </c>
    </row>
    <row r="422" spans="4:8" x14ac:dyDescent="0.3">
      <c r="D422" s="26"/>
    </row>
    <row r="424" spans="4:8" x14ac:dyDescent="0.3">
      <c r="D424" s="84" t="s">
        <v>47</v>
      </c>
      <c r="E424" s="13"/>
    </row>
    <row r="425" spans="4:8" x14ac:dyDescent="0.3">
      <c r="D425" s="83" t="s">
        <v>50</v>
      </c>
      <c r="E425" s="33"/>
    </row>
    <row r="426" spans="4:8" x14ac:dyDescent="0.3">
      <c r="D426" s="84" t="s">
        <v>49</v>
      </c>
      <c r="E426" s="44">
        <v>0.25</v>
      </c>
    </row>
    <row r="427" spans="4:8" x14ac:dyDescent="0.3">
      <c r="D427" s="39" t="s">
        <v>51</v>
      </c>
      <c r="E427" s="41">
        <f>(E424+E425)*(1+E426)</f>
        <v>0</v>
      </c>
    </row>
    <row r="430" spans="4:8" x14ac:dyDescent="0.3">
      <c r="D430" s="84" t="s">
        <v>46</v>
      </c>
      <c r="E430" s="44">
        <v>0.1</v>
      </c>
      <c r="G430" s="41" t="s">
        <v>31</v>
      </c>
      <c r="H430" s="41" t="s">
        <v>45</v>
      </c>
    </row>
    <row r="431" spans="4:8" x14ac:dyDescent="0.3">
      <c r="D431" s="36" t="s">
        <v>26</v>
      </c>
      <c r="E431" s="33">
        <f>G401*(1+E430)</f>
        <v>0</v>
      </c>
      <c r="G431" s="13"/>
      <c r="H431" s="13"/>
    </row>
    <row r="432" spans="4:8" x14ac:dyDescent="0.3">
      <c r="D432" s="24" t="s">
        <v>27</v>
      </c>
      <c r="E432" s="44">
        <v>0.25</v>
      </c>
      <c r="G432" s="33"/>
      <c r="H432" s="33"/>
    </row>
    <row r="433" spans="4:8" x14ac:dyDescent="0.3">
      <c r="D433" s="39" t="s">
        <v>29</v>
      </c>
      <c r="E433" s="41">
        <f>E431*(1+E432)</f>
        <v>0</v>
      </c>
      <c r="G433" s="13"/>
      <c r="H433" s="13"/>
    </row>
    <row r="434" spans="4:8" x14ac:dyDescent="0.3">
      <c r="D434" s="19"/>
      <c r="E434" s="18"/>
      <c r="G434" s="33"/>
      <c r="H434" s="33"/>
    </row>
    <row r="435" spans="4:8" x14ac:dyDescent="0.3">
      <c r="G435" s="13"/>
      <c r="H435" s="13"/>
    </row>
    <row r="436" spans="4:8" x14ac:dyDescent="0.3">
      <c r="D436" s="42" t="s">
        <v>10</v>
      </c>
      <c r="E436" s="43">
        <f>E421+E433+E410+E427</f>
        <v>0</v>
      </c>
    </row>
    <row r="437" spans="4:8" x14ac:dyDescent="0.3">
      <c r="D437" s="82" t="s">
        <v>43</v>
      </c>
      <c r="E437" s="46" t="e">
        <f>(E436-(E431+E417))/E436</f>
        <v>#DIV/0!</v>
      </c>
    </row>
    <row r="438" spans="4:8" x14ac:dyDescent="0.3">
      <c r="D438" s="20"/>
    </row>
    <row r="440" spans="4:8" x14ac:dyDescent="0.3">
      <c r="D440" s="25" t="s">
        <v>30</v>
      </c>
      <c r="E440" s="30">
        <v>0.15</v>
      </c>
    </row>
    <row r="441" spans="4:8" x14ac:dyDescent="0.3">
      <c r="D441" s="81" t="s">
        <v>42</v>
      </c>
      <c r="E441" s="43">
        <f>E436*(1+E440)</f>
        <v>0</v>
      </c>
    </row>
    <row r="442" spans="4:8" x14ac:dyDescent="0.3">
      <c r="D442" s="82" t="s">
        <v>44</v>
      </c>
      <c r="E442" s="46" t="e">
        <f>(E441-(E417+E431))/E441</f>
        <v>#DIV/0!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Price Sheet 1</vt:lpstr>
      <vt:lpstr>Price Sheet 2</vt:lpstr>
      <vt:lpstr>Price Sheet 3</vt:lpstr>
      <vt:lpstr>Price Sheet 4</vt:lpstr>
      <vt:lpstr>Price Sheet 5</vt:lpstr>
      <vt:lpstr>Price Sheet 6</vt:lpstr>
      <vt:lpstr>Price Sheet 7</vt:lpstr>
      <vt:lpstr>Price Sheet 8</vt:lpstr>
      <vt:lpstr>Price Sheet 9</vt:lpstr>
      <vt:lpstr>Price Sheet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Manny AME</cp:lastModifiedBy>
  <dcterms:created xsi:type="dcterms:W3CDTF">2015-08-21T14:15:56Z</dcterms:created>
  <dcterms:modified xsi:type="dcterms:W3CDTF">2026-02-06T17:46:56Z</dcterms:modified>
</cp:coreProperties>
</file>