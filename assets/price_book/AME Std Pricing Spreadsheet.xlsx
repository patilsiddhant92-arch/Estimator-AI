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nordomaticgroup-my.sharepoint.com/personal/ketankumar_parmar_nordomatic_com/Documents/Desktop/Standard Docs/"/>
    </mc:Choice>
  </mc:AlternateContent>
  <xr:revisionPtr revIDLastSave="546" documentId="13_ncr:1_{B254C959-FDEA-4E5B-9210-2FE217E439C6}" xr6:coauthVersionLast="47" xr6:coauthVersionMax="47" xr10:uidLastSave="{1075DCDF-AFC0-4CC9-B4FE-6820A21E56BF}"/>
  <bookViews>
    <workbookView xWindow="-120" yWindow="-120" windowWidth="29040" windowHeight="15720" xr2:uid="{B71EFBC1-CB32-4F51-8917-6338AC0BC859}"/>
  </bookViews>
  <sheets>
    <sheet name="Parts Pricing" sheetId="7" r:id="rId1"/>
    <sheet name="BMS-DDC-Panels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2" i="8" l="1"/>
  <c r="J33" i="8"/>
  <c r="J34" i="8"/>
  <c r="J35" i="8"/>
  <c r="J36" i="8"/>
  <c r="J31" i="8"/>
  <c r="K31" i="8" s="1"/>
  <c r="D31" i="8" s="1"/>
  <c r="O13" i="8"/>
  <c r="O10" i="8"/>
  <c r="O5" i="8"/>
  <c r="O3" i="8"/>
  <c r="N14" i="8"/>
  <c r="N13" i="8"/>
  <c r="N11" i="8"/>
  <c r="N8" i="8"/>
  <c r="O7" i="8" s="1"/>
  <c r="C20" i="8"/>
  <c r="C18" i="8"/>
  <c r="D25" i="8" l="1"/>
  <c r="D24" i="8"/>
  <c r="D14" i="8"/>
  <c r="D12" i="8"/>
  <c r="K35" i="8"/>
  <c r="D35" i="8" s="1"/>
  <c r="K33" i="8"/>
  <c r="D33" i="8" s="1"/>
</calcChain>
</file>

<file path=xl/sharedStrings.xml><?xml version="1.0" encoding="utf-8"?>
<sst xmlns="http://schemas.openxmlformats.org/spreadsheetml/2006/main" count="293" uniqueCount="216">
  <si>
    <t>PC Workstation</t>
  </si>
  <si>
    <t>INFRASTRUCTURE</t>
  </si>
  <si>
    <t>BMS Server</t>
  </si>
  <si>
    <t>UPS</t>
  </si>
  <si>
    <t>Airflow Proving Switch</t>
  </si>
  <si>
    <t>Space Temperature Sensor</t>
  </si>
  <si>
    <t>Expansion Tank Pressure Sensor</t>
  </si>
  <si>
    <t>Enable/Disable</t>
  </si>
  <si>
    <t>Unit Heater Hot Water Control Valve</t>
  </si>
  <si>
    <t>Hydronic Baseboard Hot Water Control Valve</t>
  </si>
  <si>
    <t>Duct Static Pressure Sensor</t>
  </si>
  <si>
    <t>Discharge Air Temperature Sensor</t>
  </si>
  <si>
    <t>Mixed Air Temperature Sensor</t>
  </si>
  <si>
    <t>VAV</t>
  </si>
  <si>
    <t>Building Pressure Sensor</t>
  </si>
  <si>
    <t>Break Glass Switch</t>
  </si>
  <si>
    <t>Filter DP Switch</t>
  </si>
  <si>
    <t>Airflow Station</t>
  </si>
  <si>
    <t>BTU Meter</t>
  </si>
  <si>
    <t>UV Steam Control Valve and Actuator</t>
  </si>
  <si>
    <t>BACnet Thermostat</t>
  </si>
  <si>
    <t>AHU Steam Control Valve and Actuator</t>
  </si>
  <si>
    <t>UV Freezestat</t>
  </si>
  <si>
    <t>AHU Freezestat</t>
  </si>
  <si>
    <t>Outdoor Air Temperature Sensor</t>
  </si>
  <si>
    <t>AHU Chilled Water Control Valve and Actuator</t>
  </si>
  <si>
    <t>AHU Hot Water Control Valve and Actuator</t>
  </si>
  <si>
    <t>CO Sensor</t>
  </si>
  <si>
    <t>Aquastat</t>
  </si>
  <si>
    <t>Duct Air Temperature/Humidity Sensor</t>
  </si>
  <si>
    <t>VAV Transformer</t>
  </si>
  <si>
    <t>Timeclock</t>
  </si>
  <si>
    <t>RAM Device</t>
  </si>
  <si>
    <t>Horn and Strobe</t>
  </si>
  <si>
    <t>Laptop</t>
  </si>
  <si>
    <t>PSH600-UPS</t>
  </si>
  <si>
    <t>EISK8-100T</t>
  </si>
  <si>
    <t>Functional Devices</t>
  </si>
  <si>
    <t>Contemporary Controls</t>
  </si>
  <si>
    <t>EISK8-100T/FC</t>
  </si>
  <si>
    <t>Ethernet</t>
  </si>
  <si>
    <t>With 2 Fiber Port (MM)</t>
  </si>
  <si>
    <t>(JACE) HON-9000</t>
  </si>
  <si>
    <t>NC-9025</t>
  </si>
  <si>
    <t>Up to 25 devices/1250 point core</t>
  </si>
  <si>
    <t>NC-9100</t>
  </si>
  <si>
    <t>Up to 100 devices/5,000 point core</t>
  </si>
  <si>
    <t>NC-9200</t>
  </si>
  <si>
    <t>Up to 200 devices/10,000 point core</t>
  </si>
  <si>
    <t>Individual HON-9000 controller, microSD card, branding clip, two 10/100/1000 MB Ethernet ports, and two RS-485 serial ports.</t>
  </si>
  <si>
    <t>SSMA-9025-1YR-INIT</t>
  </si>
  <si>
    <t>One Year Software Maintenance Agreement for 9025 Core (18 month initial period only)</t>
  </si>
  <si>
    <t>SSMA-9100-1YR-INIT</t>
  </si>
  <si>
    <t>One Year Software Maintenance Agreement for 9100 Core (18 month initial period only)</t>
  </si>
  <si>
    <t>SMA-9200-1YR-INIT</t>
  </si>
  <si>
    <t>One Year Software Maintenance Agreement for 9200 Core (18 month initial period only)</t>
  </si>
  <si>
    <t>Small</t>
  </si>
  <si>
    <t>Meduim</t>
  </si>
  <si>
    <t>Large</t>
  </si>
  <si>
    <t>12124-SC1</t>
  </si>
  <si>
    <t>Very Small - Ceiling Mounted</t>
  </si>
  <si>
    <t>20"H X 20"W X 6"D Nema-1 Enclosure</t>
  </si>
  <si>
    <t>12"H X 12"W X 4"D Nema-1 Enclosure</t>
  </si>
  <si>
    <t>30"H X 24"W X 6"D Nema-1 Enclosure</t>
  </si>
  <si>
    <t>36"H X 30"W X 6"D Nema-1 Enclosure</t>
  </si>
  <si>
    <t>SCE-36N3006LP</t>
  </si>
  <si>
    <t>SCE-30N2406LP</t>
  </si>
  <si>
    <t>Large /Outdoor Application</t>
  </si>
  <si>
    <t>SCE-42EL3608LP + SCE-42P36</t>
  </si>
  <si>
    <t>TR100VA005</t>
  </si>
  <si>
    <t>TR75VA005</t>
  </si>
  <si>
    <t>X2 (TR100VA005)</t>
  </si>
  <si>
    <t>X3 (TR100VA005)</t>
  </si>
  <si>
    <t>42"H X 36"W X 8"D NEMA Type 3R, 4, 12 and Type 13 Enclosure</t>
  </si>
  <si>
    <t>Newtwork Switch (Standard)</t>
  </si>
  <si>
    <t>RIBU1C</t>
  </si>
  <si>
    <t>C-2300</t>
  </si>
  <si>
    <t>C-2320-L ECM</t>
  </si>
  <si>
    <t>Senva</t>
  </si>
  <si>
    <t>TR100-TH-G</t>
  </si>
  <si>
    <t>TR100-T-G</t>
  </si>
  <si>
    <t>TR100-THC-G</t>
  </si>
  <si>
    <t>Honeywell</t>
  </si>
  <si>
    <t>BA/LDT4-PS-BB</t>
  </si>
  <si>
    <t>Cable Type Leak Sensor (25')</t>
  </si>
  <si>
    <t>BA/LDT4-RR25-BB</t>
  </si>
  <si>
    <t>CT1D-A3X</t>
  </si>
  <si>
    <t>A/CO2-R2</t>
  </si>
  <si>
    <t>Duct CO2 Sensor</t>
  </si>
  <si>
    <t>Space CO2 Sensor</t>
  </si>
  <si>
    <t>ACI</t>
  </si>
  <si>
    <t>Point List</t>
  </si>
  <si>
    <t>Mfr</t>
  </si>
  <si>
    <t>Part Number</t>
  </si>
  <si>
    <t>A/20K-D-18"-PB</t>
  </si>
  <si>
    <t>Bapi</t>
  </si>
  <si>
    <t>BA/20K-D-4"-NB-10'</t>
  </si>
  <si>
    <t>BA/20K-D-8"-NB-10'</t>
  </si>
  <si>
    <t>UV</t>
  </si>
  <si>
    <t>A/20K-FA-24'-PB</t>
  </si>
  <si>
    <t>A/RH3-20K-D</t>
  </si>
  <si>
    <t>Global Sensor</t>
  </si>
  <si>
    <t>A/20K-O-4X</t>
  </si>
  <si>
    <t>Outdoor Air Temp/Humidity Sensor</t>
  </si>
  <si>
    <t>HT1O-3KUX</t>
  </si>
  <si>
    <t>Outdoor Air Temp / Humidity / CO2 Sensor</t>
  </si>
  <si>
    <t>AQ2O-AD2AAKX</t>
  </si>
  <si>
    <t>Temperature Sensors - Water</t>
  </si>
  <si>
    <t>A/20K-I-6"-GD</t>
  </si>
  <si>
    <t>Space Temp/Humidity Sensor</t>
  </si>
  <si>
    <t>Space Temperature/Humidity /CO2 Sensor</t>
  </si>
  <si>
    <t>Space Temperature / CO2 Sensor</t>
  </si>
  <si>
    <t>A/CO2-R2-20K</t>
  </si>
  <si>
    <t>P5-0500-1LX</t>
  </si>
  <si>
    <t>P5-0501-1XP</t>
  </si>
  <si>
    <t>Dwyer</t>
  </si>
  <si>
    <t>629C-04-CH-P2-E5-S3</t>
  </si>
  <si>
    <t>Water Differential Pressure Sensor</t>
  </si>
  <si>
    <t>PW30</t>
  </si>
  <si>
    <t>Steam Pressure Sensor</t>
  </si>
  <si>
    <t>626-08-CB-P1-E5-S1</t>
  </si>
  <si>
    <t>TGW-ACX-A</t>
  </si>
  <si>
    <t>NO2 Sensor</t>
  </si>
  <si>
    <t>TGW-ANX-A</t>
  </si>
  <si>
    <t>CH4 Sensor</t>
  </si>
  <si>
    <t>TGW-AMX-A</t>
  </si>
  <si>
    <t>TC500A-N</t>
  </si>
  <si>
    <t>FCUs Etc.</t>
  </si>
  <si>
    <t>TC300B-G</t>
  </si>
  <si>
    <t>FTR etc.</t>
  </si>
  <si>
    <t>Need review from Engg Team</t>
  </si>
  <si>
    <t>ADPS-04-2-N-C</t>
  </si>
  <si>
    <t>DXW-11-153-1</t>
  </si>
  <si>
    <t>Hi / Low Pressure Switch</t>
  </si>
  <si>
    <t>AFS-460-DSS</t>
  </si>
  <si>
    <t>FS-2</t>
  </si>
  <si>
    <t>FS-6</t>
  </si>
  <si>
    <t>BA/LDT4-RR50-BB</t>
  </si>
  <si>
    <t>50 ft</t>
  </si>
  <si>
    <t>25ft</t>
  </si>
  <si>
    <t>Spot Leak Sensor</t>
  </si>
  <si>
    <t>Alps</t>
  </si>
  <si>
    <t>BSD120+SAENCCB</t>
  </si>
  <si>
    <t>Edwards</t>
  </si>
  <si>
    <t>16G554</t>
  </si>
  <si>
    <t>Johnson Controls</t>
  </si>
  <si>
    <t>A19DAC-1C</t>
  </si>
  <si>
    <t>2-Way</t>
  </si>
  <si>
    <t>VAV Hot Water Control Valve</t>
  </si>
  <si>
    <t>C-2344</t>
  </si>
  <si>
    <t>C-2343-L</t>
  </si>
  <si>
    <t>Kentech</t>
  </si>
  <si>
    <t>RAM</t>
  </si>
  <si>
    <t>Enerlites</t>
  </si>
  <si>
    <t>HET01</t>
  </si>
  <si>
    <t>IP</t>
  </si>
  <si>
    <t>VAA-VA75MB24NMC</t>
  </si>
  <si>
    <t>MSTP</t>
  </si>
  <si>
    <t>VAA-VA75IB24NMC</t>
  </si>
  <si>
    <t>Space Humidistat</t>
  </si>
  <si>
    <t>NZH-101</t>
  </si>
  <si>
    <t>Duct Humidistat</t>
  </si>
  <si>
    <t>HG80</t>
  </si>
  <si>
    <t>Budget</t>
  </si>
  <si>
    <t>Flow Meter</t>
  </si>
  <si>
    <t>Standard to use with All VAVs/FPB/Terminal Units</t>
  </si>
  <si>
    <t>TR42</t>
  </si>
  <si>
    <t>This is only Temp, no humidity - Suggesting not to use as standard selection</t>
  </si>
  <si>
    <t>Estimation Price</t>
  </si>
  <si>
    <t>Design Reference</t>
  </si>
  <si>
    <t>BACnet Thermostat (for Supplemental AC/FCUs)</t>
  </si>
  <si>
    <t>BACnet Thermostat (for CUH/EUH/FTRs)</t>
  </si>
  <si>
    <t>Water DP Switch</t>
  </si>
  <si>
    <t>LF24-SR US</t>
  </si>
  <si>
    <t>Modulating</t>
  </si>
  <si>
    <t>LMB24-SR</t>
  </si>
  <si>
    <t>MS7505A2030/U</t>
  </si>
  <si>
    <t xml:space="preserve">Standard Damper Actuator </t>
  </si>
  <si>
    <t>***Use for Smaller AC Units &amp; Exhaust Fans for Aggressive price</t>
  </si>
  <si>
    <t>Status / CT</t>
  </si>
  <si>
    <t>Ebtron ELF</t>
  </si>
  <si>
    <t>AFMS for DOAS Boxes (Similar to Fan Powered Boxes)</t>
  </si>
  <si>
    <t>Touch Screen Display</t>
  </si>
  <si>
    <t>AME Price</t>
  </si>
  <si>
    <t>MFR</t>
  </si>
  <si>
    <t>Network Level Control Panel (JACE (25 Devices)+Small Panel+NW Switch)</t>
  </si>
  <si>
    <t>Network Level Control Panel (JACE (100 Devices)+Small Panel+NW Switch)</t>
  </si>
  <si>
    <t>Water Temperature Sensor (with well)</t>
  </si>
  <si>
    <t>Water Flow Switch / Pressuretrol</t>
  </si>
  <si>
    <t>Smaller Damper Actuator for VAV/FPB/DOAS Boxes (Only when required External Actuator)</t>
  </si>
  <si>
    <t>WEB-S-100-N4</t>
  </si>
  <si>
    <t>WEB-S-UNL-N4</t>
  </si>
  <si>
    <t>SUP-100-SMA-1YR</t>
  </si>
  <si>
    <t>SUP-UNL-SMA-1YR</t>
  </si>
  <si>
    <t>Niagara N4 Supervisor (100 Devices)</t>
  </si>
  <si>
    <t>Niagara N4 Supervisor (UNL Devices)</t>
  </si>
  <si>
    <t>UN-RL1644MSB24NMC</t>
  </si>
  <si>
    <t xml:space="preserve">	UN-RS0844MSB24NMC</t>
  </si>
  <si>
    <t>Need Part # &amp; pricing</t>
  </si>
  <si>
    <t>VAV DDC Controller</t>
  </si>
  <si>
    <t>Plant Control Panel for AHUs &amp; Water System</t>
  </si>
  <si>
    <t>Plant Controller with 32 UIO</t>
  </si>
  <si>
    <t>Plant Controller with 64 UIO</t>
  </si>
  <si>
    <t>IOD-16UIO-S-S</t>
  </si>
  <si>
    <t>N-ADV-112-H-C</t>
  </si>
  <si>
    <t>Plant Controller with 128 UIO</t>
  </si>
  <si>
    <r>
      <t>DDC Controller for Terminal Units with Panel Enclosure(UV/FCU/AC/Exhaust Fan)</t>
    </r>
    <r>
      <rPr>
        <b/>
        <sz val="11"/>
        <color theme="1"/>
        <rFont val="Aptos Narrow"/>
        <family val="2"/>
        <scheme val="minor"/>
      </rPr>
      <t xml:space="preserve"> - up to 8UIO</t>
    </r>
  </si>
  <si>
    <r>
      <t xml:space="preserve">DDC Controller for Terminal Units with Panel Enclosure(UV/FCU/AC/Exhaust Fan) </t>
    </r>
    <r>
      <rPr>
        <b/>
        <sz val="11"/>
        <color theme="1"/>
        <rFont val="Aptos Narrow"/>
        <family val="2"/>
        <scheme val="minor"/>
      </rPr>
      <t>- up to 16UIO</t>
    </r>
  </si>
  <si>
    <t>Below is not completed - Need to more information and suggested part numbers</t>
  </si>
  <si>
    <t>***Only when required External Actuator for VAV/FPB/DOAS</t>
  </si>
  <si>
    <t>SCE-20N2006LP</t>
  </si>
  <si>
    <t>Control Panel Prices</t>
  </si>
  <si>
    <t>Relays &amp; Accessories</t>
  </si>
  <si>
    <t>Approx</t>
  </si>
  <si>
    <t>Calculated</t>
  </si>
  <si>
    <t>Cost for Estimation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</si>
</sst>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</cellStyleXfs>
  <cellXfs count="177">
    <xf numFmtId="0" fontId="0" fillId="0" borderId="0" xfId="0"/>
    <xf numFmtId="44" fontId="0" fillId="0" borderId="0" xfId="1" applyFont="1"/>
    <xf numFmtId="0" fontId="2" fillId="0" borderId="0" xfId="0" applyFont="1"/>
    <xf numFmtId="0" fontId="0" fillId="2" borderId="0" xfId="0" applyFill="1"/>
    <xf numFmtId="44" fontId="0" fillId="0" borderId="0" xfId="1" applyFont="1" applyAlignment="1">
      <alignment horizontal="center"/>
    </xf>
    <xf numFmtId="0" fontId="0" fillId="0" borderId="0" xfId="0" applyAlignment="1">
      <alignment vertical="center"/>
    </xf>
    <xf numFmtId="0" fontId="0" fillId="4" borderId="8" xfId="0" applyFill="1" applyBorder="1" applyAlignment="1">
      <alignment vertical="center"/>
    </xf>
    <xf numFmtId="44" fontId="0" fillId="4" borderId="1" xfId="1" applyFont="1" applyFill="1" applyBorder="1" applyAlignment="1">
      <alignment vertical="center"/>
    </xf>
    <xf numFmtId="44" fontId="0" fillId="5" borderId="1" xfId="1" applyFont="1" applyFill="1" applyBorder="1" applyAlignment="1">
      <alignment vertical="center"/>
    </xf>
    <xf numFmtId="44" fontId="0" fillId="3" borderId="1" xfId="1" applyFont="1" applyFill="1" applyBorder="1" applyAlignment="1">
      <alignment horizontal="center" vertical="center"/>
    </xf>
    <xf numFmtId="44" fontId="0" fillId="0" borderId="0" xfId="1" applyFont="1" applyAlignment="1">
      <alignment horizontal="left"/>
    </xf>
    <xf numFmtId="44" fontId="0" fillId="2" borderId="0" xfId="1" applyFont="1" applyFill="1" applyAlignment="1">
      <alignment horizontal="left"/>
    </xf>
    <xf numFmtId="0" fontId="2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0" borderId="1" xfId="0" quotePrefix="1" applyBorder="1"/>
    <xf numFmtId="8" fontId="0" fillId="0" borderId="1" xfId="0" applyNumberFormat="1" applyBorder="1"/>
    <xf numFmtId="8" fontId="0" fillId="2" borderId="1" xfId="0" applyNumberFormat="1" applyFill="1" applyBorder="1"/>
    <xf numFmtId="0" fontId="4" fillId="0" borderId="0" xfId="0" applyFont="1" applyAlignment="1">
      <alignment vertical="center"/>
    </xf>
    <xf numFmtId="44" fontId="4" fillId="0" borderId="0" xfId="1" applyFont="1" applyAlignment="1">
      <alignment horizontal="center" vertical="center"/>
    </xf>
    <xf numFmtId="44" fontId="4" fillId="0" borderId="0" xfId="1" applyFont="1" applyAlignment="1">
      <alignment vertical="center"/>
    </xf>
    <xf numFmtId="0" fontId="0" fillId="3" borderId="10" xfId="0" applyFill="1" applyBorder="1" applyAlignment="1">
      <alignment vertical="center"/>
    </xf>
    <xf numFmtId="44" fontId="0" fillId="3" borderId="10" xfId="1" applyFont="1" applyFill="1" applyBorder="1" applyAlignment="1">
      <alignment horizontal="left" vertical="center"/>
    </xf>
    <xf numFmtId="0" fontId="0" fillId="3" borderId="11" xfId="0" applyFill="1" applyBorder="1" applyAlignment="1">
      <alignment vertical="center"/>
    </xf>
    <xf numFmtId="44" fontId="0" fillId="0" borderId="0" xfId="1" applyFont="1" applyBorder="1" applyAlignment="1">
      <alignment horizontal="center"/>
    </xf>
    <xf numFmtId="0" fontId="0" fillId="0" borderId="12" xfId="0" applyBorder="1"/>
    <xf numFmtId="44" fontId="0" fillId="0" borderId="13" xfId="1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44" fontId="0" fillId="0" borderId="6" xfId="1" applyFont="1" applyBorder="1" applyAlignment="1">
      <alignment horizontal="center"/>
    </xf>
    <xf numFmtId="44" fontId="0" fillId="0" borderId="7" xfId="1" applyFont="1" applyBorder="1" applyAlignment="1">
      <alignment horizontal="center"/>
    </xf>
    <xf numFmtId="44" fontId="0" fillId="0" borderId="0" xfId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44" fontId="0" fillId="0" borderId="0" xfId="1" applyFont="1" applyAlignment="1">
      <alignment vertical="center"/>
    </xf>
    <xf numFmtId="0" fontId="0" fillId="2" borderId="0" xfId="0" applyFill="1" applyAlignment="1">
      <alignment vertical="center"/>
    </xf>
    <xf numFmtId="44" fontId="0" fillId="2" borderId="0" xfId="1" applyFont="1" applyFill="1" applyAlignment="1">
      <alignment vertical="center"/>
    </xf>
    <xf numFmtId="0" fontId="0" fillId="0" borderId="2" xfId="0" applyBorder="1" applyAlignment="1">
      <alignment vertical="center"/>
    </xf>
    <xf numFmtId="44" fontId="0" fillId="0" borderId="3" xfId="1" applyFont="1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2" xfId="0" applyBorder="1" applyAlignment="1">
      <alignment vertical="center"/>
    </xf>
    <xf numFmtId="44" fontId="0" fillId="0" borderId="0" xfId="1" applyFont="1" applyBorder="1" applyAlignment="1">
      <alignment vertical="center"/>
    </xf>
    <xf numFmtId="44" fontId="0" fillId="0" borderId="0" xfId="0" applyNumberFormat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44" fontId="0" fillId="0" borderId="3" xfId="1" applyFont="1" applyBorder="1" applyAlignment="1">
      <alignment vertical="center"/>
    </xf>
    <xf numFmtId="44" fontId="0" fillId="0" borderId="3" xfId="1" applyFont="1" applyBorder="1" applyAlignment="1">
      <alignment horizontal="center" vertical="center"/>
    </xf>
    <xf numFmtId="44" fontId="0" fillId="0" borderId="4" xfId="1" applyFont="1" applyBorder="1" applyAlignment="1">
      <alignment horizontal="center" vertical="center"/>
    </xf>
    <xf numFmtId="44" fontId="0" fillId="0" borderId="13" xfId="1" applyFont="1" applyBorder="1" applyAlignment="1">
      <alignment horizontal="center" vertical="center"/>
    </xf>
    <xf numFmtId="44" fontId="0" fillId="0" borderId="6" xfId="1" applyFont="1" applyBorder="1" applyAlignment="1">
      <alignment horizontal="center" vertical="center"/>
    </xf>
    <xf numFmtId="44" fontId="0" fillId="0" borderId="7" xfId="1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8" fontId="0" fillId="0" borderId="0" xfId="0" applyNumberFormat="1" applyAlignment="1">
      <alignment vertical="center"/>
    </xf>
    <xf numFmtId="0" fontId="0" fillId="8" borderId="0" xfId="0" applyFill="1"/>
    <xf numFmtId="44" fontId="0" fillId="0" borderId="0" xfId="1" applyFont="1" applyFill="1" applyBorder="1" applyAlignment="1">
      <alignment horizontal="center" vertical="center"/>
    </xf>
    <xf numFmtId="44" fontId="0" fillId="0" borderId="0" xfId="0" applyNumberForma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5" fillId="6" borderId="0" xfId="0" applyFont="1" applyFill="1"/>
    <xf numFmtId="44" fontId="0" fillId="0" borderId="17" xfId="1" applyFont="1" applyBorder="1"/>
    <xf numFmtId="0" fontId="0" fillId="0" borderId="18" xfId="0" applyBorder="1" applyAlignment="1">
      <alignment horizontal="center"/>
    </xf>
    <xf numFmtId="8" fontId="0" fillId="0" borderId="18" xfId="0" applyNumberFormat="1" applyBorder="1"/>
    <xf numFmtId="0" fontId="0" fillId="0" borderId="17" xfId="0" applyBorder="1"/>
    <xf numFmtId="0" fontId="0" fillId="0" borderId="18" xfId="0" applyBorder="1"/>
    <xf numFmtId="44" fontId="0" fillId="2" borderId="17" xfId="1" applyFont="1" applyFill="1" applyBorder="1"/>
    <xf numFmtId="8" fontId="0" fillId="2" borderId="18" xfId="0" applyNumberFormat="1" applyFill="1" applyBorder="1"/>
    <xf numFmtId="0" fontId="0" fillId="2" borderId="18" xfId="0" applyFill="1" applyBorder="1"/>
    <xf numFmtId="0" fontId="0" fillId="0" borderId="19" xfId="0" applyBorder="1"/>
    <xf numFmtId="0" fontId="0" fillId="0" borderId="20" xfId="0" applyBorder="1"/>
    <xf numFmtId="44" fontId="0" fillId="0" borderId="21" xfId="1" applyFont="1" applyBorder="1"/>
    <xf numFmtId="0" fontId="0" fillId="0" borderId="22" xfId="0" applyBorder="1"/>
    <xf numFmtId="0" fontId="0" fillId="0" borderId="23" xfId="0" applyBorder="1"/>
    <xf numFmtId="0" fontId="0" fillId="9" borderId="1" xfId="0" applyFill="1" applyBorder="1"/>
    <xf numFmtId="8" fontId="0" fillId="9" borderId="1" xfId="0" applyNumberFormat="1" applyFill="1" applyBorder="1"/>
    <xf numFmtId="0" fontId="0" fillId="9" borderId="0" xfId="0" applyFill="1"/>
    <xf numFmtId="0" fontId="0" fillId="9" borderId="17" xfId="0" applyFill="1" applyBorder="1"/>
    <xf numFmtId="8" fontId="0" fillId="9" borderId="18" xfId="0" applyNumberFormat="1" applyFill="1" applyBorder="1"/>
    <xf numFmtId="44" fontId="0" fillId="9" borderId="17" xfId="1" applyFont="1" applyFill="1" applyBorder="1"/>
    <xf numFmtId="0" fontId="0" fillId="9" borderId="18" xfId="0" applyFill="1" applyBorder="1"/>
    <xf numFmtId="0" fontId="0" fillId="4" borderId="26" xfId="0" applyFill="1" applyBorder="1" applyAlignment="1">
      <alignment vertical="center"/>
    </xf>
    <xf numFmtId="0" fontId="0" fillId="4" borderId="27" xfId="0" applyFill="1" applyBorder="1" applyAlignment="1">
      <alignment vertical="center"/>
    </xf>
    <xf numFmtId="0" fontId="0" fillId="4" borderId="30" xfId="0" applyFill="1" applyBorder="1" applyAlignment="1">
      <alignment vertical="center"/>
    </xf>
    <xf numFmtId="0" fontId="0" fillId="4" borderId="31" xfId="0" applyFill="1" applyBorder="1" applyAlignment="1">
      <alignment vertical="center"/>
    </xf>
    <xf numFmtId="44" fontId="0" fillId="4" borderId="22" xfId="1" applyFont="1" applyFill="1" applyBorder="1" applyAlignment="1">
      <alignment vertical="center"/>
    </xf>
    <xf numFmtId="44" fontId="0" fillId="4" borderId="15" xfId="1" applyFont="1" applyFill="1" applyBorder="1" applyAlignment="1">
      <alignment vertical="center"/>
    </xf>
    <xf numFmtId="0" fontId="0" fillId="5" borderId="26" xfId="0" applyFill="1" applyBorder="1" applyAlignment="1">
      <alignment vertical="center"/>
    </xf>
    <xf numFmtId="0" fontId="0" fillId="5" borderId="27" xfId="0" applyFill="1" applyBorder="1" applyAlignment="1">
      <alignment vertical="center"/>
    </xf>
    <xf numFmtId="0" fontId="0" fillId="5" borderId="30" xfId="0" applyFill="1" applyBorder="1" applyAlignment="1">
      <alignment vertical="center"/>
    </xf>
    <xf numFmtId="0" fontId="0" fillId="5" borderId="31" xfId="0" applyFill="1" applyBorder="1" applyAlignment="1">
      <alignment vertical="center"/>
    </xf>
    <xf numFmtId="44" fontId="0" fillId="5" borderId="22" xfId="1" applyFont="1" applyFill="1" applyBorder="1" applyAlignment="1">
      <alignment vertical="center"/>
    </xf>
    <xf numFmtId="44" fontId="0" fillId="5" borderId="15" xfId="1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4" borderId="15" xfId="0" applyFill="1" applyBorder="1" applyAlignment="1">
      <alignment vertical="center"/>
    </xf>
    <xf numFmtId="0" fontId="0" fillId="5" borderId="22" xfId="0" applyFill="1" applyBorder="1" applyAlignment="1">
      <alignment vertical="center"/>
    </xf>
    <xf numFmtId="0" fontId="0" fillId="5" borderId="14" xfId="0" applyFill="1" applyBorder="1" applyAlignment="1">
      <alignment vertical="center"/>
    </xf>
    <xf numFmtId="0" fontId="0" fillId="5" borderId="17" xfId="0" applyFill="1" applyBorder="1" applyAlignment="1">
      <alignment vertical="center"/>
    </xf>
    <xf numFmtId="0" fontId="0" fillId="5" borderId="21" xfId="0" applyFill="1" applyBorder="1" applyAlignment="1">
      <alignment vertical="center"/>
    </xf>
    <xf numFmtId="44" fontId="0" fillId="4" borderId="8" xfId="1" applyFont="1" applyFill="1" applyBorder="1" applyAlignment="1">
      <alignment vertical="center"/>
    </xf>
    <xf numFmtId="0" fontId="0" fillId="5" borderId="15" xfId="0" applyFill="1" applyBorder="1" applyAlignment="1">
      <alignment vertical="center"/>
    </xf>
    <xf numFmtId="44" fontId="0" fillId="4" borderId="11" xfId="1" applyFont="1" applyFill="1" applyBorder="1" applyAlignment="1">
      <alignment vertical="center"/>
    </xf>
    <xf numFmtId="0" fontId="0" fillId="4" borderId="14" xfId="0" applyFill="1" applyBorder="1" applyAlignment="1">
      <alignment vertical="center"/>
    </xf>
    <xf numFmtId="0" fontId="0" fillId="4" borderId="16" xfId="0" applyFill="1" applyBorder="1" applyAlignment="1">
      <alignment vertical="center"/>
    </xf>
    <xf numFmtId="0" fontId="0" fillId="4" borderId="17" xfId="0" applyFill="1" applyBorder="1" applyAlignment="1">
      <alignment vertical="center"/>
    </xf>
    <xf numFmtId="0" fontId="0" fillId="4" borderId="18" xfId="0" applyFill="1" applyBorder="1" applyAlignment="1">
      <alignment vertical="center"/>
    </xf>
    <xf numFmtId="0" fontId="0" fillId="4" borderId="21" xfId="0" applyFill="1" applyBorder="1" applyAlignment="1">
      <alignment vertical="center"/>
    </xf>
    <xf numFmtId="0" fontId="0" fillId="4" borderId="23" xfId="0" applyFill="1" applyBorder="1" applyAlignment="1">
      <alignment vertical="center"/>
    </xf>
    <xf numFmtId="44" fontId="0" fillId="4" borderId="36" xfId="1" applyFont="1" applyFill="1" applyBorder="1" applyAlignment="1">
      <alignment vertical="center"/>
    </xf>
    <xf numFmtId="44" fontId="0" fillId="4" borderId="38" xfId="1" applyFont="1" applyFill="1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8" xfId="0" applyBorder="1" applyAlignment="1">
      <alignment vertical="center"/>
    </xf>
    <xf numFmtId="44" fontId="0" fillId="0" borderId="24" xfId="0" applyNumberFormat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24" xfId="0" applyBorder="1"/>
    <xf numFmtId="0" fontId="0" fillId="0" borderId="9" xfId="0" applyBorder="1"/>
    <xf numFmtId="0" fontId="4" fillId="7" borderId="42" xfId="0" applyFont="1" applyFill="1" applyBorder="1" applyAlignment="1">
      <alignment vertical="center"/>
    </xf>
    <xf numFmtId="0" fontId="4" fillId="7" borderId="43" xfId="0" applyFont="1" applyFill="1" applyBorder="1" applyAlignment="1">
      <alignment horizontal="center" vertical="center" wrapText="1"/>
    </xf>
    <xf numFmtId="0" fontId="4" fillId="10" borderId="44" xfId="0" applyFont="1" applyFill="1" applyBorder="1" applyAlignment="1">
      <alignment vertical="center"/>
    </xf>
    <xf numFmtId="0" fontId="0" fillId="4" borderId="2" xfId="0" applyFill="1" applyBorder="1" applyAlignment="1">
      <alignment vertical="center"/>
    </xf>
    <xf numFmtId="44" fontId="0" fillId="4" borderId="2" xfId="1" applyFont="1" applyFill="1" applyBorder="1" applyAlignment="1">
      <alignment horizontal="left" vertical="center"/>
    </xf>
    <xf numFmtId="0" fontId="0" fillId="4" borderId="4" xfId="0" applyFill="1" applyBorder="1" applyAlignment="1">
      <alignment vertical="center"/>
    </xf>
    <xf numFmtId="44" fontId="0" fillId="4" borderId="1" xfId="1" applyFont="1" applyFill="1" applyBorder="1" applyAlignment="1">
      <alignment horizontal="center" vertical="center"/>
    </xf>
    <xf numFmtId="0" fontId="0" fillId="4" borderId="5" xfId="0" applyFill="1" applyBorder="1" applyAlignment="1">
      <alignment vertical="center"/>
    </xf>
    <xf numFmtId="44" fontId="0" fillId="4" borderId="5" xfId="1" applyFont="1" applyFill="1" applyBorder="1" applyAlignment="1">
      <alignment horizontal="left" vertical="center"/>
    </xf>
    <xf numFmtId="0" fontId="0" fillId="4" borderId="7" xfId="0" applyFill="1" applyBorder="1" applyAlignment="1">
      <alignment vertical="center"/>
    </xf>
    <xf numFmtId="0" fontId="0" fillId="5" borderId="2" xfId="0" applyFill="1" applyBorder="1" applyAlignment="1">
      <alignment vertical="center"/>
    </xf>
    <xf numFmtId="44" fontId="0" fillId="5" borderId="2" xfId="1" applyFont="1" applyFill="1" applyBorder="1" applyAlignment="1">
      <alignment horizontal="left" vertical="center"/>
    </xf>
    <xf numFmtId="0" fontId="0" fillId="5" borderId="4" xfId="0" applyFill="1" applyBorder="1" applyAlignment="1">
      <alignment vertical="center"/>
    </xf>
    <xf numFmtId="44" fontId="0" fillId="5" borderId="1" xfId="1" applyFont="1" applyFill="1" applyBorder="1" applyAlignment="1">
      <alignment horizontal="center" vertical="center"/>
    </xf>
    <xf numFmtId="0" fontId="0" fillId="5" borderId="5" xfId="0" applyFill="1" applyBorder="1" applyAlignment="1">
      <alignment vertical="center"/>
    </xf>
    <xf numFmtId="44" fontId="0" fillId="5" borderId="5" xfId="1" applyFont="1" applyFill="1" applyBorder="1" applyAlignment="1">
      <alignment horizontal="left" vertical="center"/>
    </xf>
    <xf numFmtId="0" fontId="0" fillId="5" borderId="7" xfId="0" applyFill="1" applyBorder="1" applyAlignment="1">
      <alignment vertical="center"/>
    </xf>
    <xf numFmtId="44" fontId="0" fillId="4" borderId="1" xfId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4" fontId="0" fillId="4" borderId="1" xfId="0" applyNumberFormat="1" applyFill="1" applyBorder="1"/>
    <xf numFmtId="44" fontId="0" fillId="5" borderId="1" xfId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44" fontId="0" fillId="5" borderId="1" xfId="0" applyNumberFormat="1" applyFill="1" applyBorder="1"/>
    <xf numFmtId="0" fontId="5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44" fontId="0" fillId="0" borderId="0" xfId="1" applyFont="1" applyBorder="1" applyAlignment="1">
      <alignment horizontal="left" vertical="center"/>
    </xf>
    <xf numFmtId="44" fontId="0" fillId="0" borderId="6" xfId="1" applyFont="1" applyBorder="1" applyAlignment="1">
      <alignment horizontal="left" vertical="center"/>
    </xf>
    <xf numFmtId="44" fontId="0" fillId="0" borderId="9" xfId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4" fontId="0" fillId="0" borderId="8" xfId="1" applyFont="1" applyBorder="1" applyAlignment="1">
      <alignment horizontal="center" vertical="center"/>
    </xf>
    <xf numFmtId="44" fontId="0" fillId="0" borderId="4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44" fontId="0" fillId="4" borderId="8" xfId="0" applyNumberFormat="1" applyFill="1" applyBorder="1" applyAlignment="1">
      <alignment horizontal="center" vertical="center"/>
    </xf>
    <xf numFmtId="44" fontId="0" fillId="4" borderId="9" xfId="0" applyNumberFormat="1" applyFill="1" applyBorder="1" applyAlignment="1">
      <alignment horizontal="center" vertical="center"/>
    </xf>
    <xf numFmtId="44" fontId="0" fillId="5" borderId="8" xfId="0" applyNumberFormat="1" applyFill="1" applyBorder="1" applyAlignment="1">
      <alignment horizontal="center" vertical="center"/>
    </xf>
    <xf numFmtId="44" fontId="0" fillId="5" borderId="9" xfId="0" applyNumberFormat="1" applyFill="1" applyBorder="1" applyAlignment="1">
      <alignment horizontal="center" vertical="center"/>
    </xf>
    <xf numFmtId="0" fontId="0" fillId="5" borderId="35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0" fontId="0" fillId="5" borderId="37" xfId="0" applyFill="1" applyBorder="1" applyAlignment="1">
      <alignment horizontal="center" vertical="center" wrapText="1"/>
    </xf>
    <xf numFmtId="44" fontId="0" fillId="5" borderId="28" xfId="0" applyNumberFormat="1" applyFill="1" applyBorder="1" applyAlignment="1">
      <alignment horizontal="center" vertical="center"/>
    </xf>
    <xf numFmtId="0" fontId="0" fillId="5" borderId="34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4" borderId="35" xfId="0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 wrapText="1"/>
    </xf>
    <xf numFmtId="0" fontId="0" fillId="4" borderId="37" xfId="0" applyFill="1" applyBorder="1" applyAlignment="1">
      <alignment horizontal="center" vertical="center" wrapText="1"/>
    </xf>
    <xf numFmtId="44" fontId="0" fillId="4" borderId="28" xfId="0" applyNumberFormat="1" applyFill="1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4" fillId="7" borderId="39" xfId="0" applyFont="1" applyFill="1" applyBorder="1" applyAlignment="1">
      <alignment horizontal="center" vertical="center"/>
    </xf>
    <xf numFmtId="0" fontId="4" fillId="7" borderId="40" xfId="0" applyFont="1" applyFill="1" applyBorder="1" applyAlignment="1">
      <alignment horizontal="center" vertical="center"/>
    </xf>
    <xf numFmtId="0" fontId="4" fillId="7" borderId="41" xfId="0" applyFont="1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 wrapText="1"/>
    </xf>
    <xf numFmtId="0" fontId="0" fillId="4" borderId="33" xfId="0" applyFill="1" applyBorder="1" applyAlignment="1">
      <alignment horizontal="center" vertical="center" wrapText="1"/>
    </xf>
    <xf numFmtId="0" fontId="0" fillId="4" borderId="29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0" fillId="5" borderId="29" xfId="0" applyFill="1" applyBorder="1" applyAlignment="1">
      <alignment horizontal="center" vertical="center" wrapText="1"/>
    </xf>
  </cellXfs>
  <cellStyles count="4">
    <cellStyle name="Currency" xfId="1" builtinId="4"/>
    <cellStyle name="Currency 2" xfId="3" xr:uid="{68416711-91C5-4AA8-8258-A13168AFE482}"/>
    <cellStyle name="Normal" xfId="0" builtinId="0"/>
    <cellStyle name="Normal 2" xfId="2" xr:uid="{D7C52EB8-2027-42A8-B3D7-DDC0EB8F86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EAD50-295D-48D0-A103-3B08C558014A}">
  <sheetPr>
    <tabColor rgb="FFFFFF00"/>
  </sheetPr>
  <dimension ref="A1:O82"/>
  <sheetViews>
    <sheetView tabSelected="1" zoomScale="90" zoomScaleNormal="90" workbookViewId="0"/>
  </sheetViews>
  <sheetFormatPr defaultRowHeight="15" x14ac:dyDescent="0.25"/>
  <cols>
    <col min="1" max="1" width="9.85546875" customWidth="1"/>
    <col min="2" max="2" width="49.42578125" customWidth="1"/>
    <col min="3" max="3" width="15.5703125" customWidth="1"/>
    <col min="4" max="4" width="10.42578125" customWidth="1"/>
    <col min="5" max="5" width="16.42578125" customWidth="1"/>
    <col min="6" max="6" width="18.7109375" customWidth="1"/>
    <col min="7" max="7" width="18.85546875" bestFit="1" customWidth="1"/>
    <col min="8" max="8" width="22.140625" style="4" bestFit="1" customWidth="1"/>
    <col min="9" max="9" width="21.7109375" bestFit="1" customWidth="1"/>
    <col min="10" max="10" width="12.7109375" style="4" customWidth="1"/>
    <col min="11" max="11" width="7.42578125" customWidth="1"/>
    <col min="12" max="12" width="19.140625" customWidth="1"/>
    <col min="13" max="13" width="25" customWidth="1"/>
    <col min="14" max="14" width="53.85546875" customWidth="1"/>
    <col min="15" max="15" width="11.140625" style="1" bestFit="1" customWidth="1"/>
  </cols>
  <sheetData>
    <row r="1" spans="2:15" ht="15.75" thickBot="1" x14ac:dyDescent="0.3"/>
    <row r="2" spans="2:15" s="18" customFormat="1" ht="30" customHeight="1" x14ac:dyDescent="0.25">
      <c r="B2" s="149" t="s">
        <v>168</v>
      </c>
      <c r="C2" s="149"/>
      <c r="E2" s="150" t="s">
        <v>169</v>
      </c>
      <c r="F2" s="151"/>
      <c r="G2" s="152"/>
      <c r="H2" s="19"/>
      <c r="J2" s="19"/>
      <c r="O2" s="20"/>
    </row>
    <row r="3" spans="2:15" x14ac:dyDescent="0.25">
      <c r="B3" s="12" t="s">
        <v>91</v>
      </c>
      <c r="C3" s="12"/>
      <c r="D3" s="2"/>
      <c r="E3" s="59" t="s">
        <v>92</v>
      </c>
      <c r="F3" s="13" t="s">
        <v>93</v>
      </c>
      <c r="G3" s="60" t="s">
        <v>183</v>
      </c>
    </row>
    <row r="4" spans="2:15" x14ac:dyDescent="0.25">
      <c r="B4" s="72" t="s">
        <v>11</v>
      </c>
      <c r="C4" s="73">
        <v>25</v>
      </c>
      <c r="D4" s="74"/>
      <c r="E4" s="75" t="s">
        <v>90</v>
      </c>
      <c r="F4" s="72" t="s">
        <v>94</v>
      </c>
      <c r="G4" s="76">
        <v>16.829999999999998</v>
      </c>
    </row>
    <row r="5" spans="2:15" x14ac:dyDescent="0.25">
      <c r="B5" s="72"/>
      <c r="C5" s="73"/>
      <c r="D5" s="74"/>
      <c r="E5" s="75" t="s">
        <v>95</v>
      </c>
      <c r="F5" s="72" t="s">
        <v>96</v>
      </c>
      <c r="G5" s="76">
        <v>13.3</v>
      </c>
      <c r="H5" s="4" t="s">
        <v>13</v>
      </c>
    </row>
    <row r="6" spans="2:15" x14ac:dyDescent="0.25">
      <c r="B6" s="72"/>
      <c r="C6" s="73"/>
      <c r="D6" s="74"/>
      <c r="E6" s="75" t="s">
        <v>95</v>
      </c>
      <c r="F6" s="72" t="s">
        <v>97</v>
      </c>
      <c r="G6" s="76">
        <v>13.3</v>
      </c>
      <c r="H6" s="4" t="s">
        <v>98</v>
      </c>
    </row>
    <row r="7" spans="2:15" x14ac:dyDescent="0.25">
      <c r="B7" s="13"/>
      <c r="C7" s="16"/>
      <c r="E7" s="62"/>
      <c r="F7" s="13"/>
      <c r="G7" s="61"/>
    </row>
    <row r="8" spans="2:15" x14ac:dyDescent="0.25">
      <c r="B8" s="12" t="s">
        <v>12</v>
      </c>
      <c r="C8" s="16"/>
      <c r="D8" s="2"/>
      <c r="E8" s="62"/>
      <c r="F8" s="13"/>
      <c r="G8" s="61"/>
    </row>
    <row r="9" spans="2:15" x14ac:dyDescent="0.25">
      <c r="B9" s="72" t="s">
        <v>29</v>
      </c>
      <c r="C9" s="73">
        <v>150</v>
      </c>
      <c r="D9" s="74"/>
      <c r="E9" s="77" t="s">
        <v>90</v>
      </c>
      <c r="F9" s="72" t="s">
        <v>99</v>
      </c>
      <c r="G9" s="76">
        <v>147.84</v>
      </c>
      <c r="H9" s="10"/>
    </row>
    <row r="10" spans="2:15" x14ac:dyDescent="0.25">
      <c r="B10" s="72"/>
      <c r="C10" s="73"/>
      <c r="D10" s="74"/>
      <c r="E10" s="77" t="s">
        <v>90</v>
      </c>
      <c r="F10" s="72" t="s">
        <v>100</v>
      </c>
      <c r="G10" s="76">
        <v>141.24</v>
      </c>
      <c r="H10" s="10"/>
    </row>
    <row r="11" spans="2:15" x14ac:dyDescent="0.25">
      <c r="B11" s="13" t="s">
        <v>101</v>
      </c>
      <c r="C11" s="16"/>
      <c r="E11" s="59"/>
      <c r="F11" s="13"/>
      <c r="G11" s="63"/>
      <c r="H11" s="10"/>
    </row>
    <row r="12" spans="2:15" x14ac:dyDescent="0.25">
      <c r="B12" s="13" t="s">
        <v>24</v>
      </c>
      <c r="C12" s="16">
        <v>50</v>
      </c>
      <c r="E12" s="59" t="s">
        <v>90</v>
      </c>
      <c r="F12" s="13" t="s">
        <v>102</v>
      </c>
      <c r="G12" s="61">
        <v>34.979999999999997</v>
      </c>
      <c r="H12" s="10"/>
    </row>
    <row r="13" spans="2:15" x14ac:dyDescent="0.25">
      <c r="B13" s="13" t="s">
        <v>103</v>
      </c>
      <c r="C13" s="16">
        <v>150</v>
      </c>
      <c r="E13" s="59" t="s">
        <v>78</v>
      </c>
      <c r="F13" s="13" t="s">
        <v>104</v>
      </c>
      <c r="G13" s="61">
        <v>122.2</v>
      </c>
    </row>
    <row r="14" spans="2:15" x14ac:dyDescent="0.25">
      <c r="B14" s="13" t="s">
        <v>105</v>
      </c>
      <c r="C14" s="16">
        <v>350</v>
      </c>
      <c r="E14" s="59" t="s">
        <v>78</v>
      </c>
      <c r="F14" s="13" t="s">
        <v>106</v>
      </c>
      <c r="G14" s="61">
        <v>333.41</v>
      </c>
    </row>
    <row r="15" spans="2:15" x14ac:dyDescent="0.25">
      <c r="B15" s="13"/>
      <c r="C15" s="16"/>
      <c r="E15" s="59"/>
      <c r="F15" s="13"/>
      <c r="G15" s="63"/>
    </row>
    <row r="16" spans="2:15" x14ac:dyDescent="0.25">
      <c r="B16" s="13" t="s">
        <v>107</v>
      </c>
      <c r="C16" s="16"/>
      <c r="E16" s="59"/>
      <c r="F16" s="13"/>
      <c r="G16" s="63"/>
    </row>
    <row r="17" spans="2:9" x14ac:dyDescent="0.25">
      <c r="B17" s="13" t="s">
        <v>187</v>
      </c>
      <c r="C17" s="16">
        <v>50</v>
      </c>
      <c r="E17" s="59" t="s">
        <v>90</v>
      </c>
      <c r="F17" s="13" t="s">
        <v>108</v>
      </c>
      <c r="G17" s="61">
        <v>31.68</v>
      </c>
    </row>
    <row r="18" spans="2:9" x14ac:dyDescent="0.25">
      <c r="B18" s="13"/>
      <c r="C18" s="16"/>
      <c r="E18" s="59"/>
      <c r="F18" s="13"/>
      <c r="G18" s="63"/>
    </row>
    <row r="19" spans="2:9" x14ac:dyDescent="0.25">
      <c r="B19" s="72" t="s">
        <v>5</v>
      </c>
      <c r="C19" s="73">
        <v>142</v>
      </c>
      <c r="D19" s="74"/>
      <c r="E19" s="77" t="s">
        <v>82</v>
      </c>
      <c r="F19" s="72" t="s">
        <v>80</v>
      </c>
      <c r="G19" s="76">
        <v>141.58000000000001</v>
      </c>
      <c r="H19" s="11" t="s">
        <v>165</v>
      </c>
      <c r="I19" s="3"/>
    </row>
    <row r="20" spans="2:9" x14ac:dyDescent="0.25">
      <c r="B20" s="72"/>
      <c r="C20" s="73"/>
      <c r="D20" s="74"/>
      <c r="E20" s="77" t="s">
        <v>82</v>
      </c>
      <c r="F20" s="72" t="s">
        <v>166</v>
      </c>
      <c r="G20" s="76">
        <v>99</v>
      </c>
      <c r="H20" s="11" t="s">
        <v>167</v>
      </c>
      <c r="I20" s="3"/>
    </row>
    <row r="21" spans="2:9" x14ac:dyDescent="0.25">
      <c r="B21" s="13" t="s">
        <v>109</v>
      </c>
      <c r="C21" s="16">
        <v>205</v>
      </c>
      <c r="E21" s="59" t="s">
        <v>82</v>
      </c>
      <c r="F21" s="13" t="s">
        <v>79</v>
      </c>
      <c r="G21" s="61">
        <v>204.82</v>
      </c>
      <c r="H21" s="10"/>
    </row>
    <row r="22" spans="2:9" x14ac:dyDescent="0.25">
      <c r="B22" s="13" t="s">
        <v>110</v>
      </c>
      <c r="C22" s="16">
        <v>340</v>
      </c>
      <c r="E22" s="59" t="s">
        <v>82</v>
      </c>
      <c r="F22" s="13" t="s">
        <v>81</v>
      </c>
      <c r="G22" s="61">
        <v>338.49</v>
      </c>
      <c r="H22" s="10"/>
    </row>
    <row r="23" spans="2:9" x14ac:dyDescent="0.25">
      <c r="B23" s="13" t="s">
        <v>111</v>
      </c>
      <c r="C23" s="16">
        <v>182</v>
      </c>
      <c r="E23" s="59" t="s">
        <v>90</v>
      </c>
      <c r="F23" s="13" t="s">
        <v>112</v>
      </c>
      <c r="G23" s="61">
        <v>181.35</v>
      </c>
      <c r="H23" s="10"/>
    </row>
    <row r="24" spans="2:9" x14ac:dyDescent="0.25">
      <c r="B24" s="13"/>
      <c r="C24" s="16"/>
      <c r="E24" s="59"/>
      <c r="F24" s="13"/>
      <c r="G24" s="63"/>
      <c r="H24" s="10"/>
    </row>
    <row r="25" spans="2:9" x14ac:dyDescent="0.25">
      <c r="B25" s="13" t="s">
        <v>14</v>
      </c>
      <c r="C25" s="16">
        <v>120</v>
      </c>
      <c r="E25" s="59" t="s">
        <v>78</v>
      </c>
      <c r="F25" s="13" t="s">
        <v>113</v>
      </c>
      <c r="G25" s="61">
        <v>114.89</v>
      </c>
    </row>
    <row r="26" spans="2:9" x14ac:dyDescent="0.25">
      <c r="B26" s="13" t="s">
        <v>10</v>
      </c>
      <c r="C26" s="16">
        <v>120</v>
      </c>
      <c r="E26" s="59" t="s">
        <v>78</v>
      </c>
      <c r="F26" s="13" t="s">
        <v>114</v>
      </c>
      <c r="G26" s="61">
        <v>103.02</v>
      </c>
    </row>
    <row r="27" spans="2:9" x14ac:dyDescent="0.25">
      <c r="B27" s="13"/>
      <c r="C27" s="16"/>
      <c r="E27" s="59"/>
      <c r="F27" s="13"/>
      <c r="G27" s="63"/>
    </row>
    <row r="28" spans="2:9" x14ac:dyDescent="0.25">
      <c r="B28" s="13" t="s">
        <v>6</v>
      </c>
      <c r="C28" s="16">
        <v>475</v>
      </c>
      <c r="E28" s="59" t="s">
        <v>115</v>
      </c>
      <c r="F28" s="13" t="s">
        <v>116</v>
      </c>
      <c r="G28" s="61">
        <v>473.77</v>
      </c>
    </row>
    <row r="29" spans="2:9" x14ac:dyDescent="0.25">
      <c r="B29" s="72" t="s">
        <v>117</v>
      </c>
      <c r="C29" s="73">
        <v>500</v>
      </c>
      <c r="D29" s="74"/>
      <c r="E29" s="77" t="s">
        <v>78</v>
      </c>
      <c r="F29" s="72" t="s">
        <v>114</v>
      </c>
      <c r="G29" s="76">
        <v>103.02</v>
      </c>
    </row>
    <row r="30" spans="2:9" x14ac:dyDescent="0.25">
      <c r="B30" s="72"/>
      <c r="C30" s="73"/>
      <c r="D30" s="74"/>
      <c r="E30" s="77" t="s">
        <v>78</v>
      </c>
      <c r="F30" s="72" t="s">
        <v>118</v>
      </c>
      <c r="G30" s="76">
        <v>444.74</v>
      </c>
    </row>
    <row r="31" spans="2:9" x14ac:dyDescent="0.25">
      <c r="B31" s="72"/>
      <c r="C31" s="73"/>
      <c r="D31" s="74"/>
      <c r="E31" s="77" t="s">
        <v>115</v>
      </c>
      <c r="F31" s="72" t="s">
        <v>116</v>
      </c>
      <c r="G31" s="76">
        <v>473.77</v>
      </c>
    </row>
    <row r="32" spans="2:9" x14ac:dyDescent="0.25">
      <c r="B32" s="13" t="s">
        <v>119</v>
      </c>
      <c r="C32" s="16">
        <v>250</v>
      </c>
      <c r="E32" s="59" t="s">
        <v>115</v>
      </c>
      <c r="F32" s="13" t="s">
        <v>120</v>
      </c>
      <c r="G32" s="61">
        <v>248.67</v>
      </c>
    </row>
    <row r="33" spans="1:8" x14ac:dyDescent="0.25">
      <c r="B33" s="13"/>
      <c r="C33" s="16"/>
      <c r="E33" s="59"/>
      <c r="F33" s="13"/>
      <c r="G33" s="63"/>
    </row>
    <row r="34" spans="1:8" x14ac:dyDescent="0.25">
      <c r="B34" s="13" t="s">
        <v>88</v>
      </c>
      <c r="C34" s="16">
        <v>190</v>
      </c>
      <c r="E34" s="59" t="s">
        <v>78</v>
      </c>
      <c r="F34" s="13" t="s">
        <v>86</v>
      </c>
      <c r="G34" s="61">
        <v>186.82</v>
      </c>
    </row>
    <row r="35" spans="1:8" x14ac:dyDescent="0.25">
      <c r="B35" s="13" t="s">
        <v>89</v>
      </c>
      <c r="C35" s="16">
        <v>190</v>
      </c>
      <c r="E35" s="59" t="s">
        <v>90</v>
      </c>
      <c r="F35" s="13" t="s">
        <v>87</v>
      </c>
      <c r="G35" s="61">
        <v>180.45</v>
      </c>
    </row>
    <row r="36" spans="1:8" x14ac:dyDescent="0.25">
      <c r="B36" s="13" t="s">
        <v>27</v>
      </c>
      <c r="C36" s="16">
        <v>300</v>
      </c>
      <c r="E36" s="59" t="s">
        <v>78</v>
      </c>
      <c r="F36" s="13" t="s">
        <v>121</v>
      </c>
      <c r="G36" s="61">
        <v>295.02999999999997</v>
      </c>
    </row>
    <row r="37" spans="1:8" x14ac:dyDescent="0.25">
      <c r="B37" s="13" t="s">
        <v>122</v>
      </c>
      <c r="C37" s="16">
        <v>330</v>
      </c>
      <c r="E37" s="59" t="s">
        <v>78</v>
      </c>
      <c r="F37" s="13" t="s">
        <v>123</v>
      </c>
      <c r="G37" s="61">
        <v>327.81</v>
      </c>
    </row>
    <row r="38" spans="1:8" x14ac:dyDescent="0.25">
      <c r="B38" s="13" t="s">
        <v>124</v>
      </c>
      <c r="C38" s="16">
        <v>330</v>
      </c>
      <c r="E38" s="59" t="s">
        <v>78</v>
      </c>
      <c r="F38" s="13" t="s">
        <v>125</v>
      </c>
      <c r="G38" s="61">
        <v>327.81</v>
      </c>
    </row>
    <row r="39" spans="1:8" x14ac:dyDescent="0.25">
      <c r="B39" s="13"/>
      <c r="C39" s="16"/>
      <c r="E39" s="59"/>
      <c r="F39" s="13"/>
      <c r="G39" s="63"/>
    </row>
    <row r="40" spans="1:8" x14ac:dyDescent="0.25">
      <c r="B40" s="13" t="s">
        <v>170</v>
      </c>
      <c r="C40" s="16">
        <v>360</v>
      </c>
      <c r="E40" s="59" t="s">
        <v>82</v>
      </c>
      <c r="F40" s="13" t="s">
        <v>126</v>
      </c>
      <c r="G40" s="61">
        <v>353.23</v>
      </c>
      <c r="H40" s="4" t="s">
        <v>127</v>
      </c>
    </row>
    <row r="41" spans="1:8" x14ac:dyDescent="0.25">
      <c r="B41" s="13" t="s">
        <v>171</v>
      </c>
      <c r="C41" s="16">
        <v>200</v>
      </c>
      <c r="E41" s="59" t="s">
        <v>82</v>
      </c>
      <c r="F41" s="13" t="s">
        <v>128</v>
      </c>
      <c r="G41" s="61">
        <v>193.68</v>
      </c>
      <c r="H41" s="4" t="s">
        <v>129</v>
      </c>
    </row>
    <row r="42" spans="1:8" x14ac:dyDescent="0.25">
      <c r="B42" s="13"/>
      <c r="C42" s="16"/>
      <c r="E42" s="59"/>
      <c r="F42" s="13"/>
      <c r="G42" s="63"/>
    </row>
    <row r="43" spans="1:8" x14ac:dyDescent="0.25">
      <c r="B43" s="13" t="s">
        <v>172</v>
      </c>
      <c r="C43" s="16">
        <v>140</v>
      </c>
      <c r="E43" s="59" t="s">
        <v>115</v>
      </c>
      <c r="F43" s="13" t="s">
        <v>132</v>
      </c>
      <c r="G43" s="61">
        <v>139.19</v>
      </c>
    </row>
    <row r="44" spans="1:8" x14ac:dyDescent="0.25">
      <c r="B44" s="13" t="s">
        <v>188</v>
      </c>
      <c r="C44" s="16">
        <v>90</v>
      </c>
      <c r="E44" s="59" t="s">
        <v>115</v>
      </c>
      <c r="F44" s="13" t="s">
        <v>135</v>
      </c>
      <c r="G44" s="61">
        <v>89.66</v>
      </c>
    </row>
    <row r="45" spans="1:8" x14ac:dyDescent="0.25">
      <c r="B45" s="13" t="s">
        <v>4</v>
      </c>
      <c r="C45" s="16">
        <v>50</v>
      </c>
      <c r="E45" s="59" t="s">
        <v>115</v>
      </c>
      <c r="F45" s="13" t="s">
        <v>131</v>
      </c>
      <c r="G45" s="61">
        <v>32.42</v>
      </c>
    </row>
    <row r="46" spans="1:8" x14ac:dyDescent="0.25">
      <c r="A46" s="52" t="s">
        <v>130</v>
      </c>
      <c r="B46" s="13" t="s">
        <v>16</v>
      </c>
      <c r="C46" s="16">
        <v>50</v>
      </c>
      <c r="E46" s="59" t="s">
        <v>115</v>
      </c>
      <c r="F46" s="13" t="s">
        <v>131</v>
      </c>
      <c r="G46" s="61">
        <v>32.42</v>
      </c>
    </row>
    <row r="47" spans="1:8" x14ac:dyDescent="0.25">
      <c r="B47" s="13" t="s">
        <v>133</v>
      </c>
      <c r="C47" s="16">
        <v>210</v>
      </c>
      <c r="E47" s="59" t="s">
        <v>90</v>
      </c>
      <c r="F47" s="13" t="s">
        <v>134</v>
      </c>
      <c r="G47" s="61">
        <v>205.92</v>
      </c>
    </row>
    <row r="48" spans="1:8" x14ac:dyDescent="0.25">
      <c r="B48" s="13" t="s">
        <v>23</v>
      </c>
      <c r="C48" s="16">
        <v>240</v>
      </c>
      <c r="E48" s="59" t="s">
        <v>90</v>
      </c>
      <c r="F48" s="13" t="s">
        <v>136</v>
      </c>
      <c r="G48" s="61">
        <v>238.15</v>
      </c>
    </row>
    <row r="49" spans="1:8" x14ac:dyDescent="0.25">
      <c r="A49" s="52" t="s">
        <v>130</v>
      </c>
      <c r="B49" s="14" t="s">
        <v>140</v>
      </c>
      <c r="C49" s="17">
        <v>112</v>
      </c>
      <c r="D49" s="3"/>
      <c r="E49" s="64" t="s">
        <v>95</v>
      </c>
      <c r="F49" s="14" t="s">
        <v>83</v>
      </c>
      <c r="G49" s="65">
        <v>111.91</v>
      </c>
    </row>
    <row r="50" spans="1:8" x14ac:dyDescent="0.25">
      <c r="B50" s="13" t="s">
        <v>84</v>
      </c>
      <c r="C50" s="16">
        <v>310</v>
      </c>
      <c r="E50" s="59" t="s">
        <v>95</v>
      </c>
      <c r="F50" s="13" t="s">
        <v>85</v>
      </c>
      <c r="G50" s="61">
        <v>306.14999999999998</v>
      </c>
      <c r="H50" s="4" t="s">
        <v>139</v>
      </c>
    </row>
    <row r="51" spans="1:8" x14ac:dyDescent="0.25">
      <c r="B51" s="13"/>
      <c r="C51" s="16"/>
      <c r="E51" s="59" t="s">
        <v>95</v>
      </c>
      <c r="F51" s="13" t="s">
        <v>137</v>
      </c>
      <c r="G51" s="61">
        <v>506.72</v>
      </c>
      <c r="H51" s="4" t="s">
        <v>138</v>
      </c>
    </row>
    <row r="52" spans="1:8" x14ac:dyDescent="0.25">
      <c r="A52" s="52" t="s">
        <v>198</v>
      </c>
      <c r="B52" s="14" t="s">
        <v>22</v>
      </c>
      <c r="C52" s="17"/>
      <c r="D52" s="3"/>
      <c r="E52" s="64"/>
      <c r="F52" s="14"/>
      <c r="G52" s="66"/>
    </row>
    <row r="53" spans="1:8" x14ac:dyDescent="0.25">
      <c r="A53" s="52" t="s">
        <v>198</v>
      </c>
      <c r="B53" s="14" t="s">
        <v>15</v>
      </c>
      <c r="C53" s="17"/>
      <c r="D53" s="3"/>
      <c r="E53" s="64" t="s">
        <v>141</v>
      </c>
      <c r="F53" s="14" t="s">
        <v>142</v>
      </c>
      <c r="G53" s="66"/>
    </row>
    <row r="54" spans="1:8" x14ac:dyDescent="0.25">
      <c r="A54" s="52" t="s">
        <v>198</v>
      </c>
      <c r="B54" s="14" t="s">
        <v>33</v>
      </c>
      <c r="C54" s="17"/>
      <c r="D54" s="3"/>
      <c r="E54" s="64" t="s">
        <v>143</v>
      </c>
      <c r="F54" s="14" t="s">
        <v>144</v>
      </c>
      <c r="G54" s="66"/>
    </row>
    <row r="55" spans="1:8" x14ac:dyDescent="0.25">
      <c r="B55" s="13" t="s">
        <v>28</v>
      </c>
      <c r="C55" s="16">
        <v>105</v>
      </c>
      <c r="E55" s="59" t="s">
        <v>145</v>
      </c>
      <c r="F55" s="13" t="s">
        <v>146</v>
      </c>
      <c r="G55" s="61">
        <v>103.11</v>
      </c>
    </row>
    <row r="56" spans="1:8" x14ac:dyDescent="0.25">
      <c r="B56" s="13"/>
      <c r="C56" s="16"/>
      <c r="E56" s="59"/>
      <c r="F56" s="13"/>
      <c r="G56" s="63"/>
    </row>
    <row r="57" spans="1:8" x14ac:dyDescent="0.25">
      <c r="B57" s="72" t="s">
        <v>177</v>
      </c>
      <c r="C57" s="73">
        <v>320</v>
      </c>
      <c r="D57" s="74"/>
      <c r="E57" s="77" t="s">
        <v>176</v>
      </c>
      <c r="F57" s="72" t="s">
        <v>174</v>
      </c>
      <c r="G57" s="78">
        <v>318.72000000000003</v>
      </c>
    </row>
    <row r="58" spans="1:8" x14ac:dyDescent="0.25">
      <c r="B58" s="72"/>
      <c r="C58" s="73"/>
      <c r="D58" s="74"/>
      <c r="E58" s="77" t="s">
        <v>173</v>
      </c>
      <c r="F58" s="72" t="s">
        <v>174</v>
      </c>
      <c r="G58" s="76">
        <v>269.95999999999998</v>
      </c>
      <c r="H58" s="10" t="s">
        <v>178</v>
      </c>
    </row>
    <row r="59" spans="1:8" x14ac:dyDescent="0.25">
      <c r="B59" s="13" t="s">
        <v>189</v>
      </c>
      <c r="C59" s="16">
        <v>170</v>
      </c>
      <c r="E59" s="59" t="s">
        <v>175</v>
      </c>
      <c r="F59" s="13" t="s">
        <v>174</v>
      </c>
      <c r="G59" s="61">
        <v>161.5</v>
      </c>
      <c r="H59" s="10" t="s">
        <v>209</v>
      </c>
    </row>
    <row r="60" spans="1:8" x14ac:dyDescent="0.25">
      <c r="B60" s="13" t="s">
        <v>7</v>
      </c>
      <c r="C60" s="16"/>
      <c r="E60" s="59" t="s">
        <v>37</v>
      </c>
      <c r="F60" s="13" t="s">
        <v>75</v>
      </c>
      <c r="G60" s="61">
        <v>17.739999999999998</v>
      </c>
    </row>
    <row r="61" spans="1:8" x14ac:dyDescent="0.25">
      <c r="B61" s="72" t="s">
        <v>179</v>
      </c>
      <c r="C61" s="73">
        <v>35</v>
      </c>
      <c r="D61" s="74"/>
      <c r="E61" s="77" t="s">
        <v>78</v>
      </c>
      <c r="F61" s="72" t="s">
        <v>76</v>
      </c>
      <c r="G61" s="76">
        <v>21.23</v>
      </c>
    </row>
    <row r="62" spans="1:8" x14ac:dyDescent="0.25">
      <c r="B62" s="72"/>
      <c r="C62" s="73"/>
      <c r="D62" s="74"/>
      <c r="E62" s="77" t="s">
        <v>78</v>
      </c>
      <c r="F62" s="72" t="s">
        <v>77</v>
      </c>
      <c r="G62" s="76">
        <v>30.45</v>
      </c>
    </row>
    <row r="63" spans="1:8" x14ac:dyDescent="0.25">
      <c r="B63" s="72"/>
      <c r="C63" s="73"/>
      <c r="D63" s="74"/>
      <c r="E63" s="77" t="s">
        <v>78</v>
      </c>
      <c r="F63" s="72" t="s">
        <v>149</v>
      </c>
      <c r="G63" s="76">
        <v>29.31</v>
      </c>
    </row>
    <row r="64" spans="1:8" x14ac:dyDescent="0.25">
      <c r="B64" s="72"/>
      <c r="C64" s="73"/>
      <c r="D64" s="74"/>
      <c r="E64" s="77" t="s">
        <v>78</v>
      </c>
      <c r="F64" s="72" t="s">
        <v>150</v>
      </c>
      <c r="G64" s="76">
        <v>29.31</v>
      </c>
    </row>
    <row r="65" spans="2:7" x14ac:dyDescent="0.25">
      <c r="B65" s="13" t="s">
        <v>32</v>
      </c>
      <c r="C65" s="16">
        <v>110</v>
      </c>
      <c r="E65" s="59" t="s">
        <v>151</v>
      </c>
      <c r="F65" s="13" t="s">
        <v>152</v>
      </c>
      <c r="G65" s="63"/>
    </row>
    <row r="66" spans="2:7" x14ac:dyDescent="0.25">
      <c r="B66" s="13" t="s">
        <v>31</v>
      </c>
      <c r="C66" s="16">
        <v>150</v>
      </c>
      <c r="E66" s="59" t="s">
        <v>153</v>
      </c>
      <c r="F66" s="13" t="s">
        <v>154</v>
      </c>
      <c r="G66" s="63"/>
    </row>
    <row r="67" spans="2:7" x14ac:dyDescent="0.25">
      <c r="B67" s="13" t="s">
        <v>30</v>
      </c>
      <c r="C67" s="16">
        <v>50</v>
      </c>
      <c r="E67" s="59"/>
      <c r="F67" s="13"/>
      <c r="G67" s="63"/>
    </row>
    <row r="68" spans="2:7" x14ac:dyDescent="0.25">
      <c r="B68" s="13" t="s">
        <v>159</v>
      </c>
      <c r="C68" s="16">
        <v>165</v>
      </c>
      <c r="E68" s="62" t="s">
        <v>90</v>
      </c>
      <c r="F68" s="13" t="s">
        <v>160</v>
      </c>
      <c r="G68" s="61">
        <v>161.69999999999999</v>
      </c>
    </row>
    <row r="69" spans="2:7" x14ac:dyDescent="0.25">
      <c r="B69" s="13" t="s">
        <v>161</v>
      </c>
      <c r="C69" s="16">
        <v>350</v>
      </c>
      <c r="E69" s="62" t="s">
        <v>90</v>
      </c>
      <c r="F69" s="13" t="s">
        <v>162</v>
      </c>
      <c r="G69" s="61">
        <v>349.8</v>
      </c>
    </row>
    <row r="70" spans="2:7" x14ac:dyDescent="0.25">
      <c r="B70" s="13" t="s">
        <v>181</v>
      </c>
      <c r="C70" s="16">
        <v>450</v>
      </c>
      <c r="E70" s="62" t="s">
        <v>180</v>
      </c>
      <c r="F70" s="13"/>
      <c r="G70" s="61">
        <v>450</v>
      </c>
    </row>
    <row r="71" spans="2:7" x14ac:dyDescent="0.25">
      <c r="B71" s="13" t="s">
        <v>17</v>
      </c>
      <c r="C71" s="16">
        <v>3500</v>
      </c>
      <c r="D71" s="4" t="s">
        <v>163</v>
      </c>
      <c r="E71" s="62"/>
      <c r="F71" s="13"/>
      <c r="G71" s="61"/>
    </row>
    <row r="72" spans="2:7" x14ac:dyDescent="0.25">
      <c r="B72" s="13" t="s">
        <v>164</v>
      </c>
      <c r="C72" s="16">
        <v>5000</v>
      </c>
      <c r="D72" s="4" t="s">
        <v>163</v>
      </c>
      <c r="E72" s="62"/>
      <c r="F72" s="13"/>
      <c r="G72" s="61"/>
    </row>
    <row r="73" spans="2:7" x14ac:dyDescent="0.25">
      <c r="B73" s="13" t="s">
        <v>18</v>
      </c>
      <c r="C73" s="16">
        <v>6000</v>
      </c>
      <c r="D73" s="4" t="s">
        <v>163</v>
      </c>
      <c r="E73" s="62"/>
      <c r="F73" s="13"/>
      <c r="G73" s="61"/>
    </row>
    <row r="74" spans="2:7" x14ac:dyDescent="0.25">
      <c r="E74" s="67"/>
      <c r="G74" s="68"/>
    </row>
    <row r="75" spans="2:7" x14ac:dyDescent="0.25">
      <c r="B75" s="13" t="s">
        <v>25</v>
      </c>
      <c r="C75" s="16">
        <v>500</v>
      </c>
      <c r="D75" s="4" t="s">
        <v>147</v>
      </c>
      <c r="E75" s="59"/>
      <c r="F75" s="13"/>
      <c r="G75" s="61"/>
    </row>
    <row r="76" spans="2:7" x14ac:dyDescent="0.25">
      <c r="B76" s="13" t="s">
        <v>26</v>
      </c>
      <c r="C76" s="16">
        <v>400</v>
      </c>
      <c r="D76" s="4" t="s">
        <v>147</v>
      </c>
      <c r="E76" s="59"/>
      <c r="F76" s="13"/>
      <c r="G76" s="61"/>
    </row>
    <row r="77" spans="2:7" x14ac:dyDescent="0.25">
      <c r="B77" s="15" t="s">
        <v>21</v>
      </c>
      <c r="C77" s="16">
        <v>550</v>
      </c>
      <c r="D77" s="4" t="s">
        <v>147</v>
      </c>
      <c r="E77" s="59"/>
      <c r="F77" s="13"/>
      <c r="G77" s="61"/>
    </row>
    <row r="78" spans="2:7" x14ac:dyDescent="0.25">
      <c r="B78" s="13" t="s">
        <v>148</v>
      </c>
      <c r="C78" s="16">
        <v>200</v>
      </c>
      <c r="D78" s="4" t="s">
        <v>147</v>
      </c>
      <c r="E78" s="59"/>
      <c r="F78" s="13"/>
      <c r="G78" s="61"/>
    </row>
    <row r="79" spans="2:7" x14ac:dyDescent="0.25">
      <c r="B79" s="13" t="s">
        <v>9</v>
      </c>
      <c r="C79" s="16">
        <v>200</v>
      </c>
      <c r="D79" s="4" t="s">
        <v>147</v>
      </c>
      <c r="E79" s="59"/>
      <c r="F79" s="13"/>
      <c r="G79" s="61"/>
    </row>
    <row r="80" spans="2:7" x14ac:dyDescent="0.25">
      <c r="B80" s="13" t="s">
        <v>8</v>
      </c>
      <c r="C80" s="16">
        <v>250</v>
      </c>
      <c r="D80" s="4" t="s">
        <v>147</v>
      </c>
      <c r="E80" s="59"/>
      <c r="F80" s="13"/>
      <c r="G80" s="61"/>
    </row>
    <row r="81" spans="2:7" x14ac:dyDescent="0.25">
      <c r="B81" s="13" t="s">
        <v>19</v>
      </c>
      <c r="C81" s="16">
        <v>380</v>
      </c>
      <c r="D81" s="4" t="s">
        <v>147</v>
      </c>
      <c r="E81" s="59"/>
      <c r="F81" s="13"/>
      <c r="G81" s="61"/>
    </row>
    <row r="82" spans="2:7" ht="15.75" thickBot="1" x14ac:dyDescent="0.3">
      <c r="B82" s="13"/>
      <c r="C82" s="16"/>
      <c r="E82" s="69"/>
      <c r="F82" s="70"/>
      <c r="G82" s="71"/>
    </row>
  </sheetData>
  <mergeCells count="2">
    <mergeCell ref="B2:C2"/>
    <mergeCell ref="E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BD926-6E3C-43A7-8F47-B46E9981E6FD}">
  <sheetPr>
    <tabColor rgb="FFFFFF00"/>
  </sheetPr>
  <dimension ref="B1:P36"/>
  <sheetViews>
    <sheetView zoomScale="90" zoomScaleNormal="90" workbookViewId="0">
      <selection activeCell="K25" sqref="K25"/>
    </sheetView>
  </sheetViews>
  <sheetFormatPr defaultRowHeight="15" x14ac:dyDescent="0.25"/>
  <cols>
    <col min="1" max="1" width="6.85546875" customWidth="1"/>
    <col min="2" max="2" width="78.7109375" customWidth="1"/>
    <col min="3" max="3" width="13" customWidth="1"/>
    <col min="4" max="4" width="12.28515625" customWidth="1"/>
    <col min="5" max="5" width="6" customWidth="1"/>
    <col min="6" max="6" width="18.85546875" bestFit="1" customWidth="1"/>
    <col min="7" max="7" width="22.140625" style="4" bestFit="1" customWidth="1"/>
    <col min="8" max="8" width="21.7109375" bestFit="1" customWidth="1"/>
    <col min="9" max="9" width="12.7109375" style="4" customWidth="1"/>
    <col min="10" max="10" width="11.140625" style="56" bestFit="1" customWidth="1"/>
    <col min="11" max="11" width="21.7109375" customWidth="1"/>
    <col min="12" max="12" width="25" customWidth="1"/>
    <col min="13" max="13" width="53.85546875" customWidth="1"/>
    <col min="14" max="14" width="11.140625" style="1" bestFit="1" customWidth="1"/>
    <col min="15" max="15" width="11.140625" bestFit="1" customWidth="1"/>
  </cols>
  <sheetData>
    <row r="1" spans="2:16" ht="15.75" thickBot="1" x14ac:dyDescent="0.3"/>
    <row r="2" spans="2:16" s="18" customFormat="1" ht="30" customHeight="1" thickBot="1" x14ac:dyDescent="0.3">
      <c r="B2" s="115" t="s">
        <v>168</v>
      </c>
      <c r="C2" s="116" t="s">
        <v>215</v>
      </c>
      <c r="D2" s="117" t="s">
        <v>214</v>
      </c>
      <c r="F2" s="169" t="s">
        <v>169</v>
      </c>
      <c r="G2" s="170"/>
      <c r="H2" s="170"/>
      <c r="I2" s="171"/>
      <c r="J2" s="55"/>
      <c r="K2" s="169" t="s">
        <v>211</v>
      </c>
      <c r="L2" s="170"/>
      <c r="M2" s="170"/>
      <c r="N2" s="170"/>
      <c r="O2" s="171"/>
      <c r="P2" s="20"/>
    </row>
    <row r="3" spans="2:16" x14ac:dyDescent="0.25">
      <c r="B3" s="32" t="s">
        <v>1</v>
      </c>
      <c r="C3" s="32"/>
      <c r="D3" s="109"/>
      <c r="E3" s="5"/>
      <c r="F3" s="112" t="s">
        <v>93</v>
      </c>
      <c r="G3" s="144"/>
      <c r="H3" s="145" t="s">
        <v>184</v>
      </c>
      <c r="I3" s="145" t="s">
        <v>183</v>
      </c>
      <c r="K3" s="172" t="s">
        <v>60</v>
      </c>
      <c r="L3" s="79" t="s">
        <v>59</v>
      </c>
      <c r="M3" s="80" t="s">
        <v>62</v>
      </c>
      <c r="N3" s="84">
        <v>150</v>
      </c>
      <c r="O3" s="166">
        <f>N3+N4</f>
        <v>194.32999999999998</v>
      </c>
    </row>
    <row r="4" spans="2:16" ht="15.75" thickBot="1" x14ac:dyDescent="0.3">
      <c r="B4" s="5" t="s">
        <v>0</v>
      </c>
      <c r="C4" s="33">
        <v>1500</v>
      </c>
      <c r="D4" s="109"/>
      <c r="E4" s="5"/>
      <c r="F4" s="39"/>
      <c r="G4" s="31"/>
      <c r="H4" s="5"/>
      <c r="I4" s="47"/>
      <c r="K4" s="174"/>
      <c r="L4" s="81" t="s">
        <v>70</v>
      </c>
      <c r="M4" s="82"/>
      <c r="N4" s="83">
        <v>44.33</v>
      </c>
      <c r="O4" s="168"/>
    </row>
    <row r="5" spans="2:16" x14ac:dyDescent="0.25">
      <c r="B5" s="5" t="s">
        <v>2</v>
      </c>
      <c r="C5" s="33">
        <v>2500</v>
      </c>
      <c r="D5" s="109"/>
      <c r="E5" s="5"/>
      <c r="F5" s="39"/>
      <c r="G5" s="31"/>
      <c r="H5" s="5"/>
      <c r="I5" s="47"/>
      <c r="K5" s="175" t="s">
        <v>56</v>
      </c>
      <c r="L5" s="85" t="s">
        <v>210</v>
      </c>
      <c r="M5" s="86" t="s">
        <v>61</v>
      </c>
      <c r="N5" s="90">
        <v>136.69</v>
      </c>
      <c r="O5" s="160">
        <f>N5+N6</f>
        <v>188.59</v>
      </c>
    </row>
    <row r="6" spans="2:16" ht="14.25" customHeight="1" thickBot="1" x14ac:dyDescent="0.3">
      <c r="B6" s="34" t="s">
        <v>34</v>
      </c>
      <c r="C6" s="35">
        <v>1500</v>
      </c>
      <c r="D6" s="109"/>
      <c r="E6" s="5"/>
      <c r="F6" s="39"/>
      <c r="G6" s="31"/>
      <c r="H6" s="5"/>
      <c r="I6" s="47"/>
      <c r="K6" s="176"/>
      <c r="L6" s="87" t="s">
        <v>69</v>
      </c>
      <c r="M6" s="88"/>
      <c r="N6" s="89">
        <v>51.9</v>
      </c>
      <c r="O6" s="162"/>
    </row>
    <row r="7" spans="2:16" x14ac:dyDescent="0.25">
      <c r="B7" s="34" t="s">
        <v>182</v>
      </c>
      <c r="C7" s="35">
        <v>1000</v>
      </c>
      <c r="D7" s="109"/>
      <c r="E7" s="5"/>
      <c r="F7" s="39"/>
      <c r="G7" s="31"/>
      <c r="H7" s="5"/>
      <c r="I7" s="47"/>
      <c r="K7" s="172" t="s">
        <v>57</v>
      </c>
      <c r="L7" s="93" t="s">
        <v>66</v>
      </c>
      <c r="M7" s="93" t="s">
        <v>63</v>
      </c>
      <c r="N7" s="84">
        <v>170.45</v>
      </c>
      <c r="O7" s="166">
        <f>N7+N8+N9</f>
        <v>374.25</v>
      </c>
    </row>
    <row r="8" spans="2:16" x14ac:dyDescent="0.25">
      <c r="B8" s="34" t="s">
        <v>3</v>
      </c>
      <c r="C8" s="35">
        <v>500</v>
      </c>
      <c r="D8" s="109"/>
      <c r="E8" s="5"/>
      <c r="F8" s="39" t="s">
        <v>35</v>
      </c>
      <c r="G8" s="31"/>
      <c r="H8" s="5" t="s">
        <v>37</v>
      </c>
      <c r="I8" s="47">
        <v>493.11</v>
      </c>
      <c r="K8" s="173"/>
      <c r="L8" s="91" t="s">
        <v>71</v>
      </c>
      <c r="M8" s="91"/>
      <c r="N8" s="7">
        <f>51.9*2</f>
        <v>103.8</v>
      </c>
      <c r="O8" s="167"/>
    </row>
    <row r="9" spans="2:16" ht="15.75" thickBot="1" x14ac:dyDescent="0.3">
      <c r="B9" s="5" t="s">
        <v>74</v>
      </c>
      <c r="C9" s="33">
        <v>200</v>
      </c>
      <c r="D9" s="109"/>
      <c r="E9" s="5"/>
      <c r="F9" s="39" t="s">
        <v>36</v>
      </c>
      <c r="G9" s="142" t="s">
        <v>40</v>
      </c>
      <c r="H9" s="5" t="s">
        <v>38</v>
      </c>
      <c r="I9" s="47">
        <v>180.94</v>
      </c>
      <c r="K9" s="174"/>
      <c r="L9" s="6" t="s">
        <v>212</v>
      </c>
      <c r="M9" s="6" t="s">
        <v>213</v>
      </c>
      <c r="N9" s="98">
        <v>100</v>
      </c>
      <c r="O9" s="167"/>
    </row>
    <row r="10" spans="2:16" x14ac:dyDescent="0.25">
      <c r="B10" s="5"/>
      <c r="C10" s="33">
        <v>450</v>
      </c>
      <c r="D10" s="109"/>
      <c r="E10" s="5"/>
      <c r="F10" s="42" t="s">
        <v>39</v>
      </c>
      <c r="G10" s="143" t="s">
        <v>41</v>
      </c>
      <c r="H10" s="43" t="s">
        <v>38</v>
      </c>
      <c r="I10" s="49">
        <v>422.82</v>
      </c>
      <c r="K10" s="157" t="s">
        <v>58</v>
      </c>
      <c r="L10" s="95" t="s">
        <v>65</v>
      </c>
      <c r="M10" s="99" t="s">
        <v>64</v>
      </c>
      <c r="N10" s="90">
        <v>217.04</v>
      </c>
      <c r="O10" s="160">
        <f>N10+N11+N12</f>
        <v>672.74</v>
      </c>
    </row>
    <row r="11" spans="2:16" ht="18" customHeight="1" x14ac:dyDescent="0.25">
      <c r="B11" s="36"/>
      <c r="C11" s="37"/>
      <c r="D11" s="110"/>
      <c r="E11" s="38"/>
      <c r="F11" s="21" t="s">
        <v>42</v>
      </c>
      <c r="G11" s="22" t="s">
        <v>49</v>
      </c>
      <c r="H11" s="23"/>
      <c r="I11" s="9">
        <v>1216.78</v>
      </c>
      <c r="J11" s="57"/>
      <c r="K11" s="158"/>
      <c r="L11" s="96" t="s">
        <v>72</v>
      </c>
      <c r="M11" s="92"/>
      <c r="N11" s="8">
        <f>51.9*3</f>
        <v>155.69999999999999</v>
      </c>
      <c r="O11" s="161"/>
    </row>
    <row r="12" spans="2:16" ht="15.75" thickBot="1" x14ac:dyDescent="0.3">
      <c r="B12" s="39" t="s">
        <v>185</v>
      </c>
      <c r="C12" s="40">
        <v>3000</v>
      </c>
      <c r="D12" s="111">
        <f>I9+I11+I12+I13+O7</f>
        <v>2903.9700000000003</v>
      </c>
      <c r="E12" s="41"/>
      <c r="F12" s="118" t="s">
        <v>43</v>
      </c>
      <c r="G12" s="119" t="s">
        <v>44</v>
      </c>
      <c r="H12" s="120"/>
      <c r="I12" s="121">
        <v>976</v>
      </c>
      <c r="J12" s="57"/>
      <c r="K12" s="159"/>
      <c r="L12" s="97" t="s">
        <v>212</v>
      </c>
      <c r="M12" s="94" t="s">
        <v>213</v>
      </c>
      <c r="N12" s="89">
        <v>300</v>
      </c>
      <c r="O12" s="162"/>
    </row>
    <row r="13" spans="2:16" ht="15" customHeight="1" x14ac:dyDescent="0.25">
      <c r="B13" s="39"/>
      <c r="C13" s="5"/>
      <c r="D13" s="109"/>
      <c r="E13" s="5"/>
      <c r="F13" s="122" t="s">
        <v>50</v>
      </c>
      <c r="G13" s="123" t="s">
        <v>51</v>
      </c>
      <c r="H13" s="124"/>
      <c r="I13" s="121">
        <v>156</v>
      </c>
      <c r="J13" s="57"/>
      <c r="K13" s="163" t="s">
        <v>67</v>
      </c>
      <c r="L13" s="101" t="s">
        <v>68</v>
      </c>
      <c r="M13" s="102" t="s">
        <v>73</v>
      </c>
      <c r="N13" s="107">
        <f>427.3+128.85</f>
        <v>556.15</v>
      </c>
      <c r="O13" s="166">
        <f>N13+N14+N15</f>
        <v>1211.8499999999999</v>
      </c>
    </row>
    <row r="14" spans="2:16" ht="16.5" customHeight="1" x14ac:dyDescent="0.25">
      <c r="B14" s="39" t="s">
        <v>186</v>
      </c>
      <c r="C14" s="40">
        <v>5200</v>
      </c>
      <c r="D14" s="111">
        <f>I9+I11+I14+I15+O7</f>
        <v>5117.97</v>
      </c>
      <c r="E14" s="41"/>
      <c r="F14" s="125" t="s">
        <v>45</v>
      </c>
      <c r="G14" s="126" t="s">
        <v>46</v>
      </c>
      <c r="H14" s="127"/>
      <c r="I14" s="128">
        <v>2884</v>
      </c>
      <c r="J14" s="57"/>
      <c r="K14" s="164"/>
      <c r="L14" s="103" t="s">
        <v>72</v>
      </c>
      <c r="M14" s="104"/>
      <c r="N14" s="100">
        <f>51.9*3</f>
        <v>155.69999999999999</v>
      </c>
      <c r="O14" s="167"/>
    </row>
    <row r="15" spans="2:16" ht="15.75" thickBot="1" x14ac:dyDescent="0.3">
      <c r="B15" s="39"/>
      <c r="C15" s="40"/>
      <c r="D15" s="109"/>
      <c r="E15" s="5"/>
      <c r="F15" s="129" t="s">
        <v>52</v>
      </c>
      <c r="G15" s="130" t="s">
        <v>53</v>
      </c>
      <c r="H15" s="131"/>
      <c r="I15" s="128">
        <v>462</v>
      </c>
      <c r="J15" s="57"/>
      <c r="K15" s="165"/>
      <c r="L15" s="105" t="s">
        <v>212</v>
      </c>
      <c r="M15" s="106" t="s">
        <v>213</v>
      </c>
      <c r="N15" s="108">
        <v>500</v>
      </c>
      <c r="O15" s="168"/>
    </row>
    <row r="16" spans="2:16" x14ac:dyDescent="0.25">
      <c r="B16" s="39"/>
      <c r="C16" s="5"/>
      <c r="D16" s="109"/>
      <c r="E16" s="5"/>
      <c r="F16" s="118" t="s">
        <v>47</v>
      </c>
      <c r="G16" s="119" t="s">
        <v>48</v>
      </c>
      <c r="H16" s="120"/>
      <c r="I16" s="121">
        <v>4322</v>
      </c>
      <c r="J16" s="57"/>
    </row>
    <row r="17" spans="2:11" x14ac:dyDescent="0.25">
      <c r="B17" s="42"/>
      <c r="C17" s="43"/>
      <c r="D17" s="112"/>
      <c r="E17" s="43"/>
      <c r="F17" s="122" t="s">
        <v>54</v>
      </c>
      <c r="G17" s="123" t="s">
        <v>55</v>
      </c>
      <c r="H17" s="124"/>
      <c r="I17" s="121">
        <v>692</v>
      </c>
      <c r="J17" s="57"/>
    </row>
    <row r="18" spans="2:11" x14ac:dyDescent="0.25">
      <c r="B18" s="36" t="s">
        <v>194</v>
      </c>
      <c r="C18" s="44">
        <f>I18+I19</f>
        <v>4674</v>
      </c>
      <c r="D18" s="110"/>
      <c r="E18" s="38"/>
      <c r="F18" s="36" t="s">
        <v>190</v>
      </c>
      <c r="G18" s="45"/>
      <c r="H18" s="38"/>
      <c r="I18" s="46">
        <v>4030</v>
      </c>
    </row>
    <row r="19" spans="2:11" x14ac:dyDescent="0.25">
      <c r="B19" s="39"/>
      <c r="C19" s="40"/>
      <c r="D19" s="109"/>
      <c r="E19" s="5"/>
      <c r="F19" s="39" t="s">
        <v>192</v>
      </c>
      <c r="G19" s="31"/>
      <c r="H19" s="5"/>
      <c r="I19" s="47">
        <v>644</v>
      </c>
    </row>
    <row r="20" spans="2:11" x14ac:dyDescent="0.25">
      <c r="B20" s="39" t="s">
        <v>195</v>
      </c>
      <c r="C20" s="40">
        <f>I20+I21</f>
        <v>9588</v>
      </c>
      <c r="D20" s="109"/>
      <c r="E20" s="5"/>
      <c r="F20" s="39" t="s">
        <v>191</v>
      </c>
      <c r="G20" s="31"/>
      <c r="H20" s="5"/>
      <c r="I20" s="47">
        <v>8266</v>
      </c>
    </row>
    <row r="21" spans="2:11" x14ac:dyDescent="0.25">
      <c r="B21" s="42"/>
      <c r="C21" s="43"/>
      <c r="D21" s="112"/>
      <c r="E21" s="43"/>
      <c r="F21" s="42" t="s">
        <v>193</v>
      </c>
      <c r="G21" s="48"/>
      <c r="H21" s="43"/>
      <c r="I21" s="49">
        <v>1322</v>
      </c>
    </row>
    <row r="22" spans="2:11" x14ac:dyDescent="0.25">
      <c r="B22" s="36" t="s">
        <v>199</v>
      </c>
      <c r="C22" s="31">
        <v>310</v>
      </c>
      <c r="D22" s="110"/>
      <c r="E22" s="38"/>
      <c r="F22" s="36" t="s">
        <v>156</v>
      </c>
      <c r="G22" s="45" t="s">
        <v>157</v>
      </c>
      <c r="H22" s="38" t="s">
        <v>82</v>
      </c>
      <c r="I22" s="46">
        <v>309.49</v>
      </c>
    </row>
    <row r="23" spans="2:11" x14ac:dyDescent="0.25">
      <c r="B23" s="39"/>
      <c r="C23" s="31"/>
      <c r="D23" s="109"/>
      <c r="E23" s="5"/>
      <c r="F23" s="39" t="s">
        <v>158</v>
      </c>
      <c r="G23" s="31" t="s">
        <v>155</v>
      </c>
      <c r="H23" s="5" t="s">
        <v>82</v>
      </c>
      <c r="I23" s="47">
        <v>309.49</v>
      </c>
    </row>
    <row r="24" spans="2:11" ht="29.25" customHeight="1" x14ac:dyDescent="0.25">
      <c r="B24" s="50" t="s">
        <v>206</v>
      </c>
      <c r="C24" s="31">
        <v>650</v>
      </c>
      <c r="D24" s="111">
        <f>I24+O7</f>
        <v>675.73</v>
      </c>
      <c r="E24" s="51"/>
      <c r="F24" s="39" t="s">
        <v>197</v>
      </c>
      <c r="G24" s="31"/>
      <c r="H24" s="5" t="s">
        <v>82</v>
      </c>
      <c r="I24" s="47">
        <v>301.48</v>
      </c>
    </row>
    <row r="25" spans="2:11" ht="29.25" customHeight="1" x14ac:dyDescent="0.25">
      <c r="B25" s="50" t="s">
        <v>207</v>
      </c>
      <c r="C25" s="31">
        <v>1000</v>
      </c>
      <c r="D25" s="111">
        <f>I25+O7</f>
        <v>1037.72</v>
      </c>
      <c r="E25" s="51"/>
      <c r="F25" s="39" t="s">
        <v>196</v>
      </c>
      <c r="G25" s="31"/>
      <c r="H25" s="5" t="s">
        <v>82</v>
      </c>
      <c r="I25" s="47">
        <v>663.47</v>
      </c>
    </row>
    <row r="26" spans="2:11" x14ac:dyDescent="0.25">
      <c r="B26" s="25" t="s">
        <v>20</v>
      </c>
      <c r="C26" s="53">
        <v>355</v>
      </c>
      <c r="D26" s="113"/>
      <c r="F26" s="25" t="s">
        <v>126</v>
      </c>
      <c r="G26" s="24"/>
      <c r="H26" t="s">
        <v>82</v>
      </c>
      <c r="I26" s="26">
        <v>353.23</v>
      </c>
    </row>
    <row r="27" spans="2:11" x14ac:dyDescent="0.25">
      <c r="B27" s="27"/>
      <c r="C27" s="28"/>
      <c r="D27" s="114"/>
      <c r="E27" s="28"/>
      <c r="F27" s="27" t="s">
        <v>128</v>
      </c>
      <c r="G27" s="29"/>
      <c r="H27" s="28" t="s">
        <v>82</v>
      </c>
      <c r="I27" s="30">
        <v>193.68</v>
      </c>
    </row>
    <row r="28" spans="2:11" x14ac:dyDescent="0.25">
      <c r="D28" s="113"/>
    </row>
    <row r="29" spans="2:11" x14ac:dyDescent="0.25">
      <c r="B29" s="58" t="s">
        <v>208</v>
      </c>
      <c r="D29" s="113"/>
    </row>
    <row r="30" spans="2:11" x14ac:dyDescent="0.25">
      <c r="B30" s="138" t="s">
        <v>200</v>
      </c>
      <c r="C30" s="139"/>
      <c r="D30" s="140"/>
    </row>
    <row r="31" spans="2:11" x14ac:dyDescent="0.25">
      <c r="B31" s="141" t="s">
        <v>201</v>
      </c>
      <c r="C31" s="146">
        <v>2900</v>
      </c>
      <c r="D31" s="147">
        <f>K31+O10</f>
        <v>2863.2299999999996</v>
      </c>
      <c r="E31" s="54"/>
      <c r="F31" s="91" t="s">
        <v>204</v>
      </c>
      <c r="G31" s="132"/>
      <c r="H31" s="121">
        <v>824.67</v>
      </c>
      <c r="I31" s="133">
        <v>1</v>
      </c>
      <c r="J31" s="134">
        <f>H31*I31</f>
        <v>824.67</v>
      </c>
      <c r="K31" s="153">
        <f>J31+J32</f>
        <v>2190.4899999999998</v>
      </c>
    </row>
    <row r="32" spans="2:11" x14ac:dyDescent="0.25">
      <c r="B32" s="27"/>
      <c r="C32" s="144"/>
      <c r="D32" s="148"/>
      <c r="F32" s="91" t="s">
        <v>203</v>
      </c>
      <c r="G32" s="132"/>
      <c r="H32" s="121">
        <v>682.91</v>
      </c>
      <c r="I32" s="133">
        <v>2</v>
      </c>
      <c r="J32" s="134">
        <f t="shared" ref="J32:J36" si="0">H32*I32</f>
        <v>1365.82</v>
      </c>
      <c r="K32" s="154"/>
    </row>
    <row r="33" spans="2:11" x14ac:dyDescent="0.25">
      <c r="B33" s="141" t="s">
        <v>202</v>
      </c>
      <c r="C33" s="146">
        <v>4250</v>
      </c>
      <c r="D33" s="147">
        <f>K33+O10</f>
        <v>4229.05</v>
      </c>
      <c r="E33" s="54"/>
      <c r="F33" s="92" t="s">
        <v>204</v>
      </c>
      <c r="G33" s="135"/>
      <c r="H33" s="128">
        <v>824.67</v>
      </c>
      <c r="I33" s="136">
        <v>1</v>
      </c>
      <c r="J33" s="137">
        <f t="shared" si="0"/>
        <v>824.67</v>
      </c>
      <c r="K33" s="155">
        <f>J33+J34</f>
        <v>3556.31</v>
      </c>
    </row>
    <row r="34" spans="2:11" x14ac:dyDescent="0.25">
      <c r="B34" s="27"/>
      <c r="C34" s="144"/>
      <c r="D34" s="148"/>
      <c r="F34" s="92" t="s">
        <v>203</v>
      </c>
      <c r="G34" s="135"/>
      <c r="H34" s="128">
        <v>682.91</v>
      </c>
      <c r="I34" s="136">
        <v>4</v>
      </c>
      <c r="J34" s="137">
        <f t="shared" si="0"/>
        <v>2731.64</v>
      </c>
      <c r="K34" s="156"/>
    </row>
    <row r="35" spans="2:11" x14ac:dyDescent="0.25">
      <c r="B35" s="141" t="s">
        <v>205</v>
      </c>
      <c r="C35" s="146">
        <v>7500</v>
      </c>
      <c r="D35" s="147">
        <f>K35+O13</f>
        <v>7499.7999999999993</v>
      </c>
      <c r="E35" s="54"/>
      <c r="F35" s="91" t="s">
        <v>204</v>
      </c>
      <c r="G35" s="132"/>
      <c r="H35" s="121">
        <v>824.67</v>
      </c>
      <c r="I35" s="133">
        <v>1</v>
      </c>
      <c r="J35" s="134">
        <f t="shared" si="0"/>
        <v>824.67</v>
      </c>
      <c r="K35" s="153">
        <f>J35+J36</f>
        <v>6287.95</v>
      </c>
    </row>
    <row r="36" spans="2:11" x14ac:dyDescent="0.25">
      <c r="B36" s="27"/>
      <c r="C36" s="145"/>
      <c r="D36" s="148"/>
      <c r="F36" s="91" t="s">
        <v>203</v>
      </c>
      <c r="G36" s="132"/>
      <c r="H36" s="121">
        <v>682.91</v>
      </c>
      <c r="I36" s="133">
        <v>8</v>
      </c>
      <c r="J36" s="134">
        <f t="shared" si="0"/>
        <v>5463.28</v>
      </c>
      <c r="K36" s="154"/>
    </row>
  </sheetData>
  <mergeCells count="15">
    <mergeCell ref="F2:I2"/>
    <mergeCell ref="K7:K9"/>
    <mergeCell ref="K5:K6"/>
    <mergeCell ref="K3:K4"/>
    <mergeCell ref="O3:O4"/>
    <mergeCell ref="O5:O6"/>
    <mergeCell ref="O7:O9"/>
    <mergeCell ref="K2:O2"/>
    <mergeCell ref="K31:K32"/>
    <mergeCell ref="K33:K34"/>
    <mergeCell ref="K35:K36"/>
    <mergeCell ref="K10:K12"/>
    <mergeCell ref="O10:O12"/>
    <mergeCell ref="K13:K15"/>
    <mergeCell ref="O13:O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Parts Pricing</vt:lpstr>
      <vt:lpstr>BMS-DDC-Panels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</dc:creator>
  <cp:lastModifiedBy>Ketankumar Parmar</cp:lastModifiedBy>
  <dcterms:created xsi:type="dcterms:W3CDTF">2024-07-15T00:51:36Z</dcterms:created>
  <dcterms:modified xsi:type="dcterms:W3CDTF">2026-07-29T19:18:19Z</dcterms:modified>
</cp:coreProperties>
</file>